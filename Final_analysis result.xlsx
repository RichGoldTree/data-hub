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47.46.253.161\토양오염분석센터\토양오염분석센터-2026년\★2026년도 접수건(25년부터 계속 진행 건 포함)----------------------------------------------\"/>
    </mc:Choice>
  </mc:AlternateContent>
  <xr:revisionPtr revIDLastSave="0" documentId="13_ncr:1_{E16C0A02-A3C3-47B2-AF45-4C2BFC8A3C52}" xr6:coauthVersionLast="36" xr6:coauthVersionMax="36" xr10:uidLastSave="{00000000-0000-0000-0000-000000000000}"/>
  <bookViews>
    <workbookView showHorizontalScroll="0" showVerticalScroll="0" xWindow="0" yWindow="0" windowWidth="28800" windowHeight="12165" xr2:uid="{00000000-000D-0000-FFFF-FFFF00000000}"/>
  </bookViews>
  <sheets>
    <sheet name="분석결과" sheetId="4" r:id="rId1"/>
    <sheet name="A.토양이화학성" sheetId="6" r:id="rId2"/>
    <sheet name="B.지하수" sheetId="7" r:id="rId3"/>
    <sheet name="TB" sheetId="5" r:id="rId4"/>
  </sheets>
  <externalReferences>
    <externalReference r:id="rId5"/>
    <externalReference r:id="rId6"/>
  </externalReferences>
  <definedNames>
    <definedName name="_1A50000_">[1]현황!#REF!</definedName>
    <definedName name="_xlnm._FilterDatabase" localSheetId="1" hidden="1">A.토양이화학성!$A$7:$V$7</definedName>
    <definedName name="_xlnm._FilterDatabase" localSheetId="2" hidden="1">B.지하수!$A$8:$AG$8</definedName>
    <definedName name="_xlnm._FilterDatabase" localSheetId="0" hidden="1">분석결과!$A$8:$AI$8</definedName>
    <definedName name="a">#REF!</definedName>
    <definedName name="B">[1]현황!#REF!</definedName>
    <definedName name="D">[1]현황!#REF!</definedName>
    <definedName name="_xlnm.Database">#REF!</definedName>
    <definedName name="dddd">[1]현황!#REF!</definedName>
    <definedName name="E">[1]현황!#REF!</definedName>
    <definedName name="F">[1]현황!#REF!</definedName>
    <definedName name="G">[1]현황!#REF!</definedName>
    <definedName name="H">[1]현황!#REF!</definedName>
    <definedName name="I">[1]현황!#REF!</definedName>
    <definedName name="J">[1]현황!#REF!</definedName>
    <definedName name="K">[1]현황!#REF!</definedName>
    <definedName name="L">[1]현황!#REF!</definedName>
    <definedName name="La">[1]현황!$P$23</definedName>
    <definedName name="LW주입량">#REF!</definedName>
    <definedName name="M">[1]현황!#REF!</definedName>
    <definedName name="n">[1]현황!$S$31</definedName>
    <definedName name="O">[1]현황!#REF!</definedName>
    <definedName name="P">[1]현황!#REF!</definedName>
    <definedName name="_xlnm.Print_Area" localSheetId="1">A.토양이화학성!$B$1:$O$7</definedName>
    <definedName name="_xlnm.Print_Area" localSheetId="2">B.지하수!$B$1:$Z$8</definedName>
    <definedName name="_xlnm.Print_Area" localSheetId="0">분석결과!$B$1:$AB$8</definedName>
    <definedName name="Q">[1]현황!#REF!</definedName>
    <definedName name="_xlnm.Recorder">[1]현황!$B$1:$B$65536</definedName>
    <definedName name="s">[1]현황!$F$11</definedName>
    <definedName name="SL에서바닥">#REF!</definedName>
    <definedName name="x">[1]현황!#REF!</definedName>
    <definedName name="Y">[1]현황!$AD$11</definedName>
    <definedName name="가">#REF!</definedName>
    <definedName name="가인버트숏두께">#REF!</definedName>
    <definedName name="가인버트숏알2">#REF!</definedName>
    <definedName name="가인버트숏파이2">#REF!</definedName>
    <definedName name="경력">#REF!,#REF!,#REF!,#REF!</definedName>
    <definedName name="고급전체">#REF!</definedName>
    <definedName name="공고공람비">[2]직접경비산출근거!#REF!</definedName>
    <definedName name="공무원구분">OFFSET(#REF!,1,#REF!,10,1)</definedName>
    <definedName name="교육">[2]직접인건비!#REF!</definedName>
    <definedName name="교통">[2]직접인건비!#REF!</definedName>
    <definedName name="굴착R6">#REF!</definedName>
    <definedName name="굴착알2">#REF!</definedName>
    <definedName name="굴착파이6">#REF!</definedName>
    <definedName name="기상">[2]직접인건비!#REF!</definedName>
    <definedName name="기술료">#REF!</definedName>
    <definedName name="기존">#REF!</definedName>
    <definedName name="기타">[2]직접인건비!#REF!</definedName>
    <definedName name="나">#REF!</definedName>
    <definedName name="다">#REF!</definedName>
    <definedName name="대안설정">[2]직접인건비!#REF!</definedName>
    <definedName name="동식물">[2]직접인건비!#REF!</definedName>
    <definedName name="동식물수">[2]직접인건비!#REF!</definedName>
    <definedName name="라">#REF!</definedName>
    <definedName name="라이닝H1">#REF!</definedName>
    <definedName name="라이닝두께">#REF!</definedName>
    <definedName name="라이닝알1">#REF!</definedName>
    <definedName name="라이닝알3">#REF!</definedName>
    <definedName name="라이닝알6">#REF!</definedName>
    <definedName name="라이닝잔여폭">#REF!</definedName>
    <definedName name="라이닝파이3">#REF!</definedName>
    <definedName name="라이닝파이6">#REF!</definedName>
    <definedName name="ㅁ">#REF!</definedName>
    <definedName name="모자이크">#REF!</definedName>
    <definedName name="문화재">[2]직접인건비!#REF!</definedName>
    <definedName name="미터당철근량">#REF!</definedName>
    <definedName name="방수공알1">#REF!</definedName>
    <definedName name="방수공알3">#REF!</definedName>
    <definedName name="방수공알6">#REF!</definedName>
    <definedName name="방수공잔여폭">#REF!</definedName>
    <definedName name="방수공파이3">#REF!</definedName>
    <definedName name="방수공파이6">#REF!</definedName>
    <definedName name="방수막겹침">#REF!</definedName>
    <definedName name="방수상반R">#REF!</definedName>
    <definedName name="방수파이">#REF!</definedName>
    <definedName name="방수하반R">#REF!</definedName>
    <definedName name="방수하반각">#REF!</definedName>
    <definedName name="배수구높이">#REF!</definedName>
    <definedName name="배수구폭">#REF!</definedName>
    <definedName name="배수콘잔여높이">#REF!</definedName>
    <definedName name="배수콘폭1">#REF!</definedName>
    <definedName name="배수콘폭2">#REF!</definedName>
    <definedName name="보강구간">#REF!</definedName>
    <definedName name="보고서인쇄비">[2]직접인건비!#REF!</definedName>
    <definedName name="보조콘길이">#REF!</definedName>
    <definedName name="보조콘높이1">#REF!</definedName>
    <definedName name="보조콘높이2">#REF!</definedName>
    <definedName name="보조콘높이3">#REF!</definedName>
    <definedName name="사_1경력">#REF!</definedName>
    <definedName name="사_2경력">#REF!</definedName>
    <definedName name="사_3경력">#REF!</definedName>
    <definedName name="사_4경력">#REF!</definedName>
    <definedName name="사급경력">#REF!</definedName>
    <definedName name="사진표정">#REF!</definedName>
    <definedName name="사후환경">[2]직접인건비!#REF!</definedName>
    <definedName name="산업">[2]직접인건비!#REF!</definedName>
    <definedName name="삼_1경력">#REF!</definedName>
    <definedName name="삼_2경력">#REF!</definedName>
    <definedName name="삼_3경력">#REF!</definedName>
    <definedName name="삼_4경력">#REF!</definedName>
    <definedName name="삼_5경력">#REF!</definedName>
    <definedName name="삼급경력">#REF!</definedName>
    <definedName name="상반R">#REF!</definedName>
    <definedName name="상반R1">#REF!</definedName>
    <definedName name="상반R2">#REF!</definedName>
    <definedName name="숏1차B">#REF!</definedName>
    <definedName name="숏1차H1">#REF!</definedName>
    <definedName name="숏1차R1">#REF!</definedName>
    <definedName name="숏1차R3">#REF!</definedName>
    <definedName name="숏1차R6">#REF!</definedName>
    <definedName name="숏1차두께">#REF!</definedName>
    <definedName name="숏1차파이3">#REF!</definedName>
    <definedName name="숏1차파이6">#REF!</definedName>
    <definedName name="숏1차폭">#REF!</definedName>
    <definedName name="숏2차H1">#REF!</definedName>
    <definedName name="숏2차R1">#REF!</definedName>
    <definedName name="숏2차R3">#REF!</definedName>
    <definedName name="숏2차R6">#REF!</definedName>
    <definedName name="숏2차두께">#REF!</definedName>
    <definedName name="숏2차파이3">#REF!</definedName>
    <definedName name="숏2차파이6">#REF!</definedName>
    <definedName name="숏2차폭">#REF!</definedName>
    <definedName name="숏2파이3">#REF!</definedName>
    <definedName name="숏3차H1">#REF!</definedName>
    <definedName name="숏3차R1">#REF!</definedName>
    <definedName name="숏3차R3">#REF!</definedName>
    <definedName name="숏3차R6">#REF!</definedName>
    <definedName name="숏3차두께">#REF!</definedName>
    <definedName name="숏3차파이3">#REF!</definedName>
    <definedName name="숏3차파이6">#REF!</definedName>
    <definedName name="숏3차폭">#REF!</definedName>
    <definedName name="수리수문">[2]직접인건비!#REF!</definedName>
    <definedName name="수정도화비율">#REF!</definedName>
    <definedName name="수정도화지형증감계수">#REF!</definedName>
    <definedName name="수정도화축척별작업량">#REF!</definedName>
    <definedName name="수팽창상반R">#REF!</definedName>
    <definedName name="수팽창총길이">#REF!</definedName>
    <definedName name="수팽창하반R">#REF!</definedName>
    <definedName name="수팽창하반각">#REF!</definedName>
    <definedName name="실리콘높이">#REF!</definedName>
    <definedName name="실리콘폭">#REF!</definedName>
    <definedName name="악취">[2]직접인건비!#REF!</definedName>
    <definedName name="암청소H1">#REF!</definedName>
    <definedName name="암청소R1">#REF!</definedName>
    <definedName name="암청소R2">#REF!</definedName>
    <definedName name="암청소R3">#REF!</definedName>
    <definedName name="암청소파이3">#REF!</definedName>
    <definedName name="여굴R1">#REF!</definedName>
    <definedName name="여비">[2]직접경비산출근거!#REF!</definedName>
    <definedName name="오_1경력">#REF!</definedName>
    <definedName name="오_2경력">#REF!</definedName>
    <definedName name="오_3경력">#REF!</definedName>
    <definedName name="오급경력">#REF!</definedName>
    <definedName name="요약문">[2]직접인건비!#REF!</definedName>
    <definedName name="위락경관">[2]직접인건비!#REF!</definedName>
    <definedName name="위생보건">[2]직접인건비!#REF!</definedName>
    <definedName name="육_1경력">#REF!</definedName>
    <definedName name="육_2경력">#REF!</definedName>
    <definedName name="육급경력">#REF!</definedName>
    <definedName name="육수동식물">[2]직접인건비!#REF!</definedName>
    <definedName name="인구">[2]직접인건비!#REF!</definedName>
    <definedName name="인화">#REF!</definedName>
    <definedName name="입력범위">#REF!,#REF!,#REF!,#REF!,#REF!,#REF!,#REF!,#REF!,#REF!,#REF!,#REF!,#REF!,#REF!</definedName>
    <definedName name="입력범위1">#REF!,#REF!,#REF!,#REF!,#REF!,#REF!,#REF!,#REF!,#REF!,#REF!,#REF!,#REF!,#REF!</definedName>
    <definedName name="자료">#REF!</definedName>
    <definedName name="작업관리">#REF!</definedName>
    <definedName name="재단">#REF!</definedName>
    <definedName name="저감방안">[2]직접인건비!#REF!</definedName>
    <definedName name="정리">#REF!</definedName>
    <definedName name="정위치편집작업증감계수">#REF!</definedName>
    <definedName name="정위치편집지형증감계수">#REF!</definedName>
    <definedName name="정위치편집축척별시간당작업량">#REF!</definedName>
    <definedName name="주거">[2]직접인건비!#REF!</definedName>
    <definedName name="주민생활">[2]직접인건비!#REF!</definedName>
    <definedName name="주민의견">[2]직접인건비!#REF!</definedName>
    <definedName name="주입율">#REF!</definedName>
    <definedName name="중급전체">#REF!</definedName>
    <definedName name="중앙배수높이">#REF!</definedName>
    <definedName name="중앙배수폭1">#REF!</definedName>
    <definedName name="중앙배수폭2">#REF!</definedName>
    <definedName name="중앙유공관직경">#REF!</definedName>
    <definedName name="지도직">#REF!</definedName>
    <definedName name="지형상증감계수">#REF!</definedName>
    <definedName name="직급범위">#REF!</definedName>
    <definedName name="초급엔지니어링">#REF!</definedName>
    <definedName name="추가제외">#REF!,#REF!,#REF!</definedName>
    <definedName name="충주">#REF!</definedName>
    <definedName name="측정업무">[2]직접인건비!#REF!</definedName>
    <definedName name="칠_1경력">#REF!</definedName>
    <definedName name="칠급경력">#REF!</definedName>
    <definedName name="토양">[2]직접인건비!#REF!</definedName>
    <definedName name="토양질">[2]직접경비산출근거!#REF!</definedName>
    <definedName name="특급전체">#REF!</definedName>
    <definedName name="파이">#REF!</definedName>
    <definedName name="팔급경력">#REF!</definedName>
    <definedName name="평가항목">[2]직접인건비!#REF!</definedName>
    <definedName name="하반R">#REF!</definedName>
    <definedName name="하반R2">#REF!</definedName>
    <definedName name="ㅣㅣ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70" i="4" l="1"/>
  <c r="AC569" i="4"/>
  <c r="AC563" i="4"/>
  <c r="AC550" i="4"/>
  <c r="AC540" i="4"/>
  <c r="AC541" i="4"/>
  <c r="AC542" i="4"/>
  <c r="AC543" i="4"/>
  <c r="AC544" i="4"/>
  <c r="AC545" i="4"/>
  <c r="AC546" i="4"/>
  <c r="AC547" i="4"/>
  <c r="AC548" i="4"/>
  <c r="AC549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4" i="4"/>
  <c r="AC565" i="4"/>
  <c r="AC566" i="4"/>
  <c r="AC567" i="4"/>
  <c r="AC568" i="4"/>
  <c r="AC539" i="4"/>
  <c r="AC538" i="4"/>
  <c r="AC537" i="4"/>
  <c r="AC536" i="4"/>
  <c r="AC535" i="4"/>
  <c r="AC534" i="4"/>
  <c r="AC533" i="4"/>
  <c r="AC532" i="4"/>
  <c r="AC522" i="4"/>
  <c r="AC507" i="4"/>
  <c r="AC506" i="4"/>
  <c r="AC501" i="4"/>
  <c r="AC490" i="4"/>
  <c r="AC491" i="4"/>
  <c r="AC492" i="4"/>
  <c r="AC493" i="4"/>
  <c r="AC494" i="4"/>
  <c r="AC495" i="4"/>
  <c r="AC496" i="4"/>
  <c r="AC497" i="4"/>
  <c r="AC498" i="4"/>
  <c r="AC499" i="4"/>
  <c r="AC500" i="4"/>
  <c r="AC502" i="4"/>
  <c r="AC503" i="4"/>
  <c r="AC504" i="4"/>
  <c r="AC505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3" i="4"/>
  <c r="AC524" i="4"/>
  <c r="AC525" i="4"/>
  <c r="AC526" i="4"/>
  <c r="AC527" i="4"/>
  <c r="AC528" i="4"/>
  <c r="AC529" i="4"/>
  <c r="AC530" i="4"/>
  <c r="AC531" i="4"/>
  <c r="AC489" i="4"/>
  <c r="AA13" i="7" l="1"/>
  <c r="AA14" i="7"/>
  <c r="AA10" i="7"/>
  <c r="AA12" i="7"/>
  <c r="AA11" i="7"/>
  <c r="AA9" i="7"/>
  <c r="AC485" i="4"/>
  <c r="P10" i="6"/>
  <c r="P9" i="6"/>
  <c r="P8" i="6"/>
  <c r="AC488" i="4" l="1"/>
  <c r="AC487" i="4"/>
  <c r="AC486" i="4"/>
  <c r="AC475" i="4"/>
  <c r="AC457" i="4"/>
  <c r="AC436" i="4"/>
  <c r="AC415" i="4"/>
  <c r="AC405" i="4"/>
  <c r="AC386" i="4"/>
  <c r="AC365" i="4"/>
  <c r="AC343" i="4"/>
  <c r="AC322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6" i="4"/>
  <c r="AC407" i="4"/>
  <c r="AC408" i="4"/>
  <c r="AC409" i="4"/>
  <c r="AC410" i="4"/>
  <c r="AC411" i="4"/>
  <c r="AC412" i="4"/>
  <c r="AC413" i="4"/>
  <c r="AC414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6" i="4"/>
  <c r="AC477" i="4"/>
  <c r="AC478" i="4"/>
  <c r="AC479" i="4"/>
  <c r="AC480" i="4"/>
  <c r="AC481" i="4"/>
  <c r="AC482" i="4"/>
  <c r="AC483" i="4"/>
  <c r="AC484" i="4"/>
  <c r="AC303" i="4"/>
  <c r="AC302" i="4"/>
  <c r="AC301" i="4"/>
  <c r="AC292" i="4"/>
  <c r="AC271" i="4"/>
  <c r="AC249" i="4"/>
  <c r="AC230" i="4"/>
  <c r="AC229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3" i="4"/>
  <c r="AC294" i="4"/>
  <c r="AC295" i="4"/>
  <c r="AC296" i="4"/>
  <c r="AC297" i="4"/>
  <c r="AC298" i="4"/>
  <c r="AC299" i="4"/>
  <c r="AC300" i="4"/>
  <c r="AC211" i="4"/>
  <c r="AC209" i="4"/>
  <c r="AC210" i="4"/>
  <c r="AC208" i="4"/>
  <c r="AC205" i="4"/>
  <c r="AC204" i="4"/>
  <c r="AC203" i="4"/>
  <c r="AC202" i="4"/>
  <c r="AC201" i="4"/>
  <c r="AC200" i="4"/>
  <c r="AC199" i="4"/>
  <c r="AC198" i="4"/>
  <c r="AC189" i="4"/>
  <c r="AC168" i="4"/>
  <c r="AC150" i="4"/>
  <c r="AC149" i="4"/>
  <c r="AC148" i="4"/>
  <c r="AC147" i="4"/>
  <c r="AC146" i="4"/>
  <c r="AC145" i="4"/>
  <c r="AC140" i="4"/>
  <c r="AC139" i="4"/>
  <c r="AC133" i="4"/>
  <c r="AC132" i="4"/>
  <c r="AC144" i="4"/>
  <c r="AC143" i="4"/>
  <c r="AC142" i="4"/>
  <c r="AC141" i="4"/>
  <c r="AC138" i="4"/>
  <c r="AC137" i="4"/>
  <c r="AC136" i="4"/>
  <c r="AC135" i="4"/>
  <c r="AC134" i="4"/>
  <c r="AC131" i="4"/>
  <c r="AC130" i="4"/>
  <c r="AC129" i="4"/>
  <c r="AC128" i="4"/>
  <c r="AC127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90" i="4"/>
  <c r="AC191" i="4"/>
  <c r="AC192" i="4"/>
  <c r="AC193" i="4"/>
  <c r="AC194" i="4"/>
  <c r="AC195" i="4"/>
  <c r="AC196" i="4"/>
  <c r="AC197" i="4"/>
  <c r="AC206" i="4"/>
  <c r="AC20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7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4" i="4"/>
  <c r="AC75" i="4"/>
  <c r="AC76" i="4"/>
  <c r="AC77" i="4"/>
  <c r="AC78" i="4"/>
  <c r="AC79" i="4"/>
  <c r="AC80" i="4"/>
  <c r="AC53" i="4"/>
  <c r="AC52" i="4"/>
  <c r="AC51" i="4"/>
  <c r="AC50" i="4"/>
  <c r="AC49" i="4"/>
  <c r="AC48" i="4"/>
  <c r="AC47" i="4"/>
  <c r="AC46" i="4"/>
  <c r="AC45" i="4"/>
  <c r="AC30" i="4"/>
  <c r="AC10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5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N17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L40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N40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L45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N45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  <comment ref="L47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7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고농도
3반복 재전처리 비교 후
차이없음 확인 함</t>
        </r>
      </text>
    </comment>
  </commentList>
</comments>
</file>

<file path=xl/sharedStrings.xml><?xml version="1.0" encoding="utf-8"?>
<sst xmlns="http://schemas.openxmlformats.org/spreadsheetml/2006/main" count="3480" uniqueCount="1252">
  <si>
    <t>- 토양공정시험기준에 따라 분석 ★분석기한 준수★</t>
    <phoneticPr fontId="38" type="noConversion"/>
  </si>
  <si>
    <t>- 정도관리 철저, 정도관리 보고서 필요</t>
    <phoneticPr fontId="38" type="noConversion"/>
  </si>
  <si>
    <t>접수번호</t>
    <phoneticPr fontId="38" type="noConversion"/>
  </si>
  <si>
    <t>시료명</t>
    <phoneticPr fontId="38" type="noConversion"/>
  </si>
  <si>
    <t>TPH</t>
    <phoneticPr fontId="38" type="noConversion"/>
  </si>
  <si>
    <t>Benzene</t>
    <phoneticPr fontId="38" type="noConversion"/>
  </si>
  <si>
    <t>Toluene</t>
    <phoneticPr fontId="38" type="noConversion"/>
  </si>
  <si>
    <t>Ethylbenzene</t>
    <phoneticPr fontId="38" type="noConversion"/>
  </si>
  <si>
    <t>Xylene</t>
    <phoneticPr fontId="38" type="noConversion"/>
  </si>
  <si>
    <t>Cd</t>
    <phoneticPr fontId="38" type="noConversion"/>
  </si>
  <si>
    <t>Cu</t>
    <phoneticPr fontId="38" type="noConversion"/>
  </si>
  <si>
    <t>Pb</t>
    <phoneticPr fontId="38" type="noConversion"/>
  </si>
  <si>
    <t>As</t>
    <phoneticPr fontId="38" type="noConversion"/>
  </si>
  <si>
    <t>Hg</t>
    <phoneticPr fontId="38" type="noConversion"/>
  </si>
  <si>
    <t>Zn</t>
    <phoneticPr fontId="38" type="noConversion"/>
  </si>
  <si>
    <t>Ni</t>
    <phoneticPr fontId="38" type="noConversion"/>
  </si>
  <si>
    <t>pH</t>
    <phoneticPr fontId="38" type="noConversion"/>
  </si>
  <si>
    <t>(단위)</t>
    <phoneticPr fontId="38" type="noConversion"/>
  </si>
  <si>
    <t>mg/kg</t>
    <phoneticPr fontId="38" type="noConversion"/>
  </si>
  <si>
    <t>접수일</t>
    <phoneticPr fontId="38" type="noConversion"/>
  </si>
  <si>
    <t>채취일</t>
    <phoneticPr fontId="38" type="noConversion"/>
  </si>
  <si>
    <t>채취지역</t>
    <phoneticPr fontId="38" type="noConversion"/>
  </si>
  <si>
    <t>mg/kg</t>
    <phoneticPr fontId="38" type="noConversion"/>
  </si>
  <si>
    <t>-</t>
    <phoneticPr fontId="38" type="noConversion"/>
  </si>
  <si>
    <t>(채취일+14일이내/급한경우 별도 공지)</t>
  </si>
  <si>
    <t>완료기한</t>
    <phoneticPr fontId="2" type="noConversion"/>
  </si>
  <si>
    <t>실제완료일
(성적서 발급일자)</t>
    <phoneticPr fontId="2" type="noConversion"/>
  </si>
  <si>
    <r>
      <t>Cr</t>
    </r>
    <r>
      <rPr>
        <b/>
        <vertAlign val="superscript"/>
        <sz val="10"/>
        <color theme="1"/>
        <rFont val="맑은 고딕"/>
        <family val="3"/>
        <charset val="129"/>
        <scheme val="major"/>
      </rPr>
      <t>6+</t>
    </r>
    <phoneticPr fontId="38" type="noConversion"/>
  </si>
  <si>
    <t>분석완료일자를 '실제 완료일' 란에 기재해주세요.</t>
    <phoneticPr fontId="2" type="noConversion"/>
  </si>
  <si>
    <t>분석이 완료되면 팀장님들께서는 결과 검토 부탁드립니다. 검토 완료일자 기재해주세요.</t>
    <phoneticPr fontId="2" type="noConversion"/>
  </si>
  <si>
    <t>특이사항
(비고)</t>
    <phoneticPr fontId="2" type="noConversion"/>
  </si>
  <si>
    <t>완료일
(유기분석)</t>
    <phoneticPr fontId="2" type="noConversion"/>
  </si>
  <si>
    <t>완료일
(무기분석)</t>
    <phoneticPr fontId="2" type="noConversion"/>
  </si>
  <si>
    <t>완료일
(일반분석)</t>
    <phoneticPr fontId="2" type="noConversion"/>
  </si>
  <si>
    <t>발급일</t>
    <phoneticPr fontId="2" type="noConversion"/>
  </si>
  <si>
    <t>성적서No.</t>
    <phoneticPr fontId="2" type="noConversion"/>
  </si>
  <si>
    <t>- 지퍼백, 유리병, 메탄올바이알 중 항목에 맞는 시료로 분석</t>
    <phoneticPr fontId="38" type="noConversion"/>
  </si>
  <si>
    <t>-</t>
    <phoneticPr fontId="2" type="noConversion"/>
  </si>
  <si>
    <t>* 완료되는대로 결과 올려주세요/팀별완료일 기재요망 (자릿수!!, 정량한계 주의 입력)</t>
    <phoneticPr fontId="2" type="noConversion"/>
  </si>
  <si>
    <t>기준</t>
    <phoneticPr fontId="38" type="noConversion"/>
  </si>
  <si>
    <t>F</t>
    <phoneticPr fontId="2" type="noConversion"/>
  </si>
  <si>
    <t>CN</t>
    <phoneticPr fontId="2" type="noConversion"/>
  </si>
  <si>
    <t>유기인</t>
    <phoneticPr fontId="2" type="noConversion"/>
  </si>
  <si>
    <t>페놀류</t>
    <phoneticPr fontId="2" type="noConversion"/>
  </si>
  <si>
    <t>PCB</t>
    <phoneticPr fontId="2" type="noConversion"/>
  </si>
  <si>
    <t>TCE</t>
    <phoneticPr fontId="2" type="noConversion"/>
  </si>
  <si>
    <t>PCE</t>
    <phoneticPr fontId="2" type="noConversion"/>
  </si>
  <si>
    <t>B(a)P</t>
    <phoneticPr fontId="2" type="noConversion"/>
  </si>
  <si>
    <t>1,2-DCA</t>
    <phoneticPr fontId="2" type="noConversion"/>
  </si>
  <si>
    <t>울산</t>
    <phoneticPr fontId="2" type="noConversion"/>
  </si>
  <si>
    <t>2025-D-0001-1</t>
    <phoneticPr fontId="2" type="noConversion"/>
  </si>
  <si>
    <t>UJS-A001-01</t>
  </si>
  <si>
    <t>2025-D-0001-2</t>
  </si>
  <si>
    <t>2025-D-0001-3</t>
  </si>
  <si>
    <t>2025-D-0001-4</t>
  </si>
  <si>
    <t>2025-D-0001-5</t>
  </si>
  <si>
    <t>2025-D-0001-6</t>
  </si>
  <si>
    <t>2025-D-0001-7</t>
  </si>
  <si>
    <t>2025-D-0001-8</t>
  </si>
  <si>
    <t>2025-D-0001-9</t>
  </si>
  <si>
    <t>2025-D-0001-10</t>
  </si>
  <si>
    <t>2025-D-0001-11</t>
  </si>
  <si>
    <t>2025-D-0001-12</t>
  </si>
  <si>
    <t>2025-D-0001-13</t>
  </si>
  <si>
    <t>2025-D-0001-14</t>
  </si>
  <si>
    <t>2025-D-0001-15</t>
  </si>
  <si>
    <t>2025-D-0001-16</t>
  </si>
  <si>
    <t>2025-D-0001-17</t>
  </si>
  <si>
    <t>2025-D-0001-18</t>
  </si>
  <si>
    <t>2025-D-0001-19</t>
  </si>
  <si>
    <t>2025-D-0001-20</t>
  </si>
  <si>
    <t>2025-D-0001-21</t>
  </si>
  <si>
    <t>2025-D-0001-22</t>
  </si>
  <si>
    <t>2025-D-0001-23</t>
  </si>
  <si>
    <t>2025-D-0001-24</t>
  </si>
  <si>
    <t>2025-D-0001-25</t>
  </si>
  <si>
    <t>2025-D-0001-26</t>
  </si>
  <si>
    <t>2025-D-0001-27</t>
  </si>
  <si>
    <t>2025-D-0001-28</t>
  </si>
  <si>
    <t>2025-D-0001-29</t>
  </si>
  <si>
    <t>2025-D-0001-30</t>
  </si>
  <si>
    <t>2025-D-0001-31</t>
  </si>
  <si>
    <t>2025-D-0001-32</t>
  </si>
  <si>
    <t>2025-D-0001-33</t>
  </si>
  <si>
    <t>2025-D-0001-34</t>
  </si>
  <si>
    <t>2025-D-0001-35</t>
  </si>
  <si>
    <t>2025-D-0001-36</t>
  </si>
  <si>
    <t>2025-D-0001-37</t>
  </si>
  <si>
    <t>2025-D-0001-38</t>
  </si>
  <si>
    <t>2025-D-0001-39</t>
  </si>
  <si>
    <t>2025-D-0001-40</t>
  </si>
  <si>
    <t>2025-D-0001-41</t>
  </si>
  <si>
    <t>UJS-A011-01</t>
  </si>
  <si>
    <t>2025-D-0001-20-1</t>
    <phoneticPr fontId="2" type="noConversion"/>
  </si>
  <si>
    <t>UJS-A014-01</t>
  </si>
  <si>
    <t>UJS-A021-01</t>
  </si>
  <si>
    <t>UJS-A022-01</t>
  </si>
  <si>
    <t>UJS-A028-01</t>
  </si>
  <si>
    <t>UJS-A029-01</t>
  </si>
  <si>
    <t>UJS-A030-01</t>
  </si>
  <si>
    <t>UJS-A031-01</t>
  </si>
  <si>
    <t>UJS-A032-01</t>
  </si>
  <si>
    <t>UJS-A033-01</t>
  </si>
  <si>
    <t>UJS-A034-01</t>
  </si>
  <si>
    <t>UJS-A036-01</t>
  </si>
  <si>
    <t>UJS-A037-01</t>
  </si>
  <si>
    <t>UJS-A038-01</t>
  </si>
  <si>
    <t>UJS-A039-01</t>
  </si>
  <si>
    <t>UJS-A040-01</t>
  </si>
  <si>
    <t>UJS-A041-01</t>
  </si>
  <si>
    <t>UJS-A042-01</t>
  </si>
  <si>
    <t>UJS-A043-01</t>
  </si>
  <si>
    <t>UJS-A043-01(QA/QC)</t>
    <phoneticPr fontId="2" type="noConversion"/>
  </si>
  <si>
    <t>2025-D-0001-20-2</t>
    <phoneticPr fontId="2" type="noConversion"/>
  </si>
  <si>
    <t>FB20251015</t>
    <phoneticPr fontId="2" type="noConversion"/>
  </si>
  <si>
    <t>UJS-A045-01</t>
  </si>
  <si>
    <t>UJS-A048-01</t>
  </si>
  <si>
    <t>UJS-A049-01</t>
  </si>
  <si>
    <t>UJS-A050-01</t>
  </si>
  <si>
    <t>UJS-A051-01</t>
  </si>
  <si>
    <t>UJS-A052-01</t>
  </si>
  <si>
    <t>UJS-A053-01</t>
  </si>
  <si>
    <t>UJS-A054-01</t>
  </si>
  <si>
    <t>UJS-A056-01</t>
  </si>
  <si>
    <t>UJS-A057-01</t>
  </si>
  <si>
    <t>UJS-A058-01</t>
  </si>
  <si>
    <t>UJS-A059-01</t>
  </si>
  <si>
    <t>UJS-A064-01</t>
  </si>
  <si>
    <t>UJS-A065-01</t>
  </si>
  <si>
    <t>UJS-A066-01</t>
  </si>
  <si>
    <t>UJS-A067-01</t>
  </si>
  <si>
    <t>UJS-A074-01</t>
  </si>
  <si>
    <t>UJS-A075-01</t>
  </si>
  <si>
    <t>UJS-A076-01</t>
  </si>
  <si>
    <t>UJS-A077-01</t>
  </si>
  <si>
    <t>UJS-A078-01</t>
  </si>
  <si>
    <t>UJS-A077-01(QA/QC)</t>
    <phoneticPr fontId="2" type="noConversion"/>
  </si>
  <si>
    <t>2025-D-0001-40-1</t>
    <phoneticPr fontId="2" type="noConversion"/>
  </si>
  <si>
    <t>발주처 : 국방시설본부</t>
    <phoneticPr fontId="38" type="noConversion"/>
  </si>
  <si>
    <t>▶용역명 :  미활용주둔지 토양환경평가용역(울산)</t>
    <phoneticPr fontId="38" type="noConversion"/>
  </si>
  <si>
    <t>ND</t>
  </si>
  <si>
    <t>2025-D-0001-42</t>
  </si>
  <si>
    <t>2025-D-0001-43</t>
  </si>
  <si>
    <t>2025-D-0001-44</t>
  </si>
  <si>
    <t>2025-D-0001-45</t>
  </si>
  <si>
    <t>2025-D-0001-46</t>
  </si>
  <si>
    <t>2025-D-0001-47</t>
  </si>
  <si>
    <t>2025-D-0001-48</t>
  </si>
  <si>
    <t>2025-D-0001-49</t>
  </si>
  <si>
    <t>2025-D-0001-50</t>
  </si>
  <si>
    <t>2025-D-0001-51</t>
  </si>
  <si>
    <t>2025-D-0001-52</t>
  </si>
  <si>
    <t>2025-D-0001-53</t>
  </si>
  <si>
    <t>2025-D-0001-54</t>
  </si>
  <si>
    <t>2025-D-0001-55</t>
  </si>
  <si>
    <t>2025-D-0001-56</t>
  </si>
  <si>
    <t>2025-D-0001-57</t>
  </si>
  <si>
    <t>2025-D-0001-58</t>
  </si>
  <si>
    <t>2025-D-0001-59</t>
  </si>
  <si>
    <t>2025-D-0001-60</t>
  </si>
  <si>
    <t>2025-D-0001-61</t>
  </si>
  <si>
    <t>2025-D-0001-62</t>
  </si>
  <si>
    <t>2025-D-0001-63</t>
  </si>
  <si>
    <t>2025-D-0001-64</t>
  </si>
  <si>
    <t>2025-D-0001-65</t>
  </si>
  <si>
    <t>2025-D-0001-66</t>
  </si>
  <si>
    <t>2025-D-0001-67</t>
  </si>
  <si>
    <t>2025-D-0001-68</t>
  </si>
  <si>
    <t>2025-D-0001-69</t>
  </si>
  <si>
    <t>2025-D-0001-70</t>
  </si>
  <si>
    <t>2025-D-0001-71</t>
  </si>
  <si>
    <t>2025-D-0001-72</t>
  </si>
  <si>
    <t>2025-D-0001-73</t>
  </si>
  <si>
    <t>2025-D-0001-74</t>
  </si>
  <si>
    <t>2025-D-0001-75</t>
  </si>
  <si>
    <t>2025-D-0001-76</t>
  </si>
  <si>
    <t>2025-D-0001-77</t>
  </si>
  <si>
    <t>2025-D-0001-78</t>
  </si>
  <si>
    <t>2025-D-0001-79</t>
  </si>
  <si>
    <t>2025-D-0001-80</t>
  </si>
  <si>
    <t>2025-D-0001-81</t>
  </si>
  <si>
    <t>2025-D-0001-82</t>
  </si>
  <si>
    <t>2025-D-0001-83</t>
  </si>
  <si>
    <t>2025-D-0001-84</t>
  </si>
  <si>
    <t>2025-D-0001-85</t>
  </si>
  <si>
    <t>2025-D-0001-86</t>
  </si>
  <si>
    <t>2025-D-0001-87</t>
  </si>
  <si>
    <t>2025-D-0001-88</t>
  </si>
  <si>
    <t>2025-D-0001-89</t>
  </si>
  <si>
    <t>2025-D-0001-90</t>
  </si>
  <si>
    <t>2025-D-0001-91</t>
  </si>
  <si>
    <t>2025-D-0001-92</t>
  </si>
  <si>
    <t>2025-D-0001-93</t>
  </si>
  <si>
    <t>2025-D-0001-94</t>
  </si>
  <si>
    <t>2025-D-0001-95</t>
  </si>
  <si>
    <t>2025-D-0001-96</t>
  </si>
  <si>
    <t>2025-D-0001-97</t>
  </si>
  <si>
    <t>2025-D-0001-98</t>
  </si>
  <si>
    <t>2025-D-0001-99</t>
  </si>
  <si>
    <t>2025-D-0001-100</t>
  </si>
  <si>
    <t>2025-D-0001-101</t>
  </si>
  <si>
    <t>2025-D-0001-102</t>
  </si>
  <si>
    <t>2025-D-0001-103</t>
  </si>
  <si>
    <t>2025-D-0001-104</t>
  </si>
  <si>
    <t>2025-D-0001-105</t>
  </si>
  <si>
    <t>2025-D-0001-106</t>
  </si>
  <si>
    <t>2025-D-0001-107</t>
  </si>
  <si>
    <t>2025-D-0001-108</t>
  </si>
  <si>
    <t>2025-D-0001-109</t>
  </si>
  <si>
    <t>2025-D-0001-110</t>
  </si>
  <si>
    <t>2025-D-0001-111</t>
  </si>
  <si>
    <t>2025-D-0001-112</t>
  </si>
  <si>
    <t>2025-D-0001-113</t>
  </si>
  <si>
    <t>2025-D-0001-114</t>
  </si>
  <si>
    <t>2025-D-0001-115</t>
  </si>
  <si>
    <t>2025-D-0001-116</t>
  </si>
  <si>
    <t>2025-D-0001-117</t>
  </si>
  <si>
    <t>2025-D-0001-118</t>
  </si>
  <si>
    <t>2025-D-0001-119</t>
  </si>
  <si>
    <t>2025-D-0001-120</t>
  </si>
  <si>
    <t>2025-D-0001-121</t>
  </si>
  <si>
    <t>2025-D-0001-122</t>
  </si>
  <si>
    <t>2025-D-0001-123</t>
  </si>
  <si>
    <t>2025-D-0001-124</t>
  </si>
  <si>
    <t>2025-D-0001-125</t>
  </si>
  <si>
    <t>2025-D-0001-126</t>
  </si>
  <si>
    <t>2025-D-0001-127</t>
  </si>
  <si>
    <t>2025-D-0001-128</t>
  </si>
  <si>
    <t>2025-D-0001-129</t>
  </si>
  <si>
    <t>2025-D-0001-130</t>
  </si>
  <si>
    <t>2025-D-0001-131</t>
  </si>
  <si>
    <t>2025-D-0001-132</t>
  </si>
  <si>
    <t>2025-D-0001-133</t>
  </si>
  <si>
    <t>2025-D-0001-134</t>
  </si>
  <si>
    <t>2025-D-0001-135</t>
  </si>
  <si>
    <t>2025-D-0001-136</t>
  </si>
  <si>
    <t>2025-D-0001-137</t>
  </si>
  <si>
    <t>2025-D-0001-138</t>
  </si>
  <si>
    <t>2025-D-0001-139</t>
  </si>
  <si>
    <t>2025-D-0001-140</t>
  </si>
  <si>
    <t>2025-D-0001-141</t>
  </si>
  <si>
    <t>2025-D-0001-142</t>
  </si>
  <si>
    <t>2025-D-0001-143</t>
  </si>
  <si>
    <t>2025-D-0001-144</t>
  </si>
  <si>
    <t>2025-D-0001-145</t>
  </si>
  <si>
    <t>2025-D-0001-146</t>
  </si>
  <si>
    <t>2025-D-0001-147</t>
  </si>
  <si>
    <t>2025-D-0001-148</t>
  </si>
  <si>
    <t>2025-D-0001-149</t>
  </si>
  <si>
    <t>2025-D-0001-150</t>
  </si>
  <si>
    <t>2025-D-0001-151</t>
  </si>
  <si>
    <t>2025-D-0001-152</t>
  </si>
  <si>
    <t>2025-D-0001-153</t>
  </si>
  <si>
    <t>2025-D-0001-154</t>
  </si>
  <si>
    <t>2025-D-0001-155</t>
  </si>
  <si>
    <t>2025-D-0001-156</t>
  </si>
  <si>
    <t>2025-D-0001-157</t>
  </si>
  <si>
    <t>2025-D-0001-158</t>
  </si>
  <si>
    <t>2025-D-0001-159</t>
  </si>
  <si>
    <t>2025-D-0001-160</t>
  </si>
  <si>
    <t>2025-D-0001-161</t>
  </si>
  <si>
    <t>2025-D-0001-162</t>
  </si>
  <si>
    <t>2025-D-0001-163</t>
  </si>
  <si>
    <t>2025-D-0001-164</t>
  </si>
  <si>
    <t>2025-D-0001-165</t>
  </si>
  <si>
    <t>2025-D-0001-166</t>
  </si>
  <si>
    <t>2025-D-0001-167</t>
  </si>
  <si>
    <t>2025-D-0001-168</t>
  </si>
  <si>
    <t>2025-D-0001-169</t>
  </si>
  <si>
    <t>2025-D-0001-170</t>
  </si>
  <si>
    <t>2025-D-0001-171</t>
  </si>
  <si>
    <t>2025-D-0001-172</t>
  </si>
  <si>
    <t>2025-D-0001-173</t>
  </si>
  <si>
    <t>2025-D-0001-174</t>
  </si>
  <si>
    <t>2025-D-0001-175</t>
  </si>
  <si>
    <t>2025-D-0001-176</t>
  </si>
  <si>
    <t>2025-D-0001-177</t>
  </si>
  <si>
    <t>2025-D-0001-178</t>
  </si>
  <si>
    <t>2025-D-0001-179</t>
  </si>
  <si>
    <t>2025-D-0001-180</t>
  </si>
  <si>
    <t>2025-D-0001-181</t>
  </si>
  <si>
    <t>2025-D-0001-182</t>
  </si>
  <si>
    <t>2025-D-0001-183</t>
  </si>
  <si>
    <t>2025-D-0001-184</t>
  </si>
  <si>
    <t>2025-D-0001-185</t>
  </si>
  <si>
    <t>2025-D-0001-186</t>
  </si>
  <si>
    <t>2025-D-0001-187</t>
  </si>
  <si>
    <t>2025-D-0001-188</t>
  </si>
  <si>
    <t>2025-D-0001-189</t>
  </si>
  <si>
    <t>UJS-A002-01</t>
    <phoneticPr fontId="2" type="noConversion"/>
  </si>
  <si>
    <t>UJS-A002-02</t>
  </si>
  <si>
    <t>UJS-A002-03</t>
  </si>
  <si>
    <t>UJS-A002-04</t>
  </si>
  <si>
    <t>UJS-A002-05</t>
  </si>
  <si>
    <t>UJS-A002-06</t>
  </si>
  <si>
    <t>UJS-A003-01</t>
    <phoneticPr fontId="2" type="noConversion"/>
  </si>
  <si>
    <t>UJS-A004-01</t>
    <phoneticPr fontId="2" type="noConversion"/>
  </si>
  <si>
    <t>UJS-A004-02</t>
  </si>
  <si>
    <t>UJS-A004-03</t>
  </si>
  <si>
    <t>UJS-A004-04</t>
  </si>
  <si>
    <t>UJS-A004-05</t>
  </si>
  <si>
    <t>UJS-A004-06</t>
  </si>
  <si>
    <t>UJS-A005-01</t>
    <phoneticPr fontId="2" type="noConversion"/>
  </si>
  <si>
    <t>UJS-A006-01</t>
    <phoneticPr fontId="2" type="noConversion"/>
  </si>
  <si>
    <t>UJS-A007-01</t>
    <phoneticPr fontId="2" type="noConversion"/>
  </si>
  <si>
    <t>UJS-A007-02</t>
  </si>
  <si>
    <t>UJS-A007-03</t>
  </si>
  <si>
    <t>UJS-A007-04</t>
  </si>
  <si>
    <t>UJS-A007-05</t>
  </si>
  <si>
    <t>UJS-A007-06</t>
  </si>
  <si>
    <t>2025-D-0001-61-1</t>
    <phoneticPr fontId="2" type="noConversion"/>
  </si>
  <si>
    <t>UJS-A007-05(QA/QC)</t>
    <phoneticPr fontId="2" type="noConversion"/>
  </si>
  <si>
    <t>UJS-A008-01</t>
    <phoneticPr fontId="2" type="noConversion"/>
  </si>
  <si>
    <t>UJS-A009-01</t>
    <phoneticPr fontId="2" type="noConversion"/>
  </si>
  <si>
    <t>UJS-A009-02</t>
  </si>
  <si>
    <t>UJS-A009-03</t>
  </si>
  <si>
    <t>UJS-A009-04</t>
  </si>
  <si>
    <t>UJS-A010-01</t>
    <phoneticPr fontId="2" type="noConversion"/>
  </si>
  <si>
    <t>UJS-A018-01</t>
    <phoneticPr fontId="2" type="noConversion"/>
  </si>
  <si>
    <t>UJS-A018-02</t>
    <phoneticPr fontId="2" type="noConversion"/>
  </si>
  <si>
    <t>UJS-A017-01</t>
    <phoneticPr fontId="2" type="noConversion"/>
  </si>
  <si>
    <t>UJS-A017-02</t>
  </si>
  <si>
    <t>UJS-A016-01</t>
    <phoneticPr fontId="2" type="noConversion"/>
  </si>
  <si>
    <t>UJS-A016-02</t>
  </si>
  <si>
    <t>UJS-A015-01</t>
    <phoneticPr fontId="2" type="noConversion"/>
  </si>
  <si>
    <t>UJS-A015-02</t>
  </si>
  <si>
    <t>UJS-A015-03</t>
  </si>
  <si>
    <t>UJS-A015-04</t>
  </si>
  <si>
    <t>UJS-A015-05</t>
  </si>
  <si>
    <t>UJS-A015-06</t>
  </si>
  <si>
    <t>UJS-A015-07</t>
  </si>
  <si>
    <t>2025-D-0001-81-1</t>
    <phoneticPr fontId="2" type="noConversion"/>
  </si>
  <si>
    <t>UJS-A015-06(QA/QC)</t>
    <phoneticPr fontId="2" type="noConversion"/>
  </si>
  <si>
    <t>UJS-A012-01</t>
    <phoneticPr fontId="2" type="noConversion"/>
  </si>
  <si>
    <t>UJS-A013-01</t>
    <phoneticPr fontId="2" type="noConversion"/>
  </si>
  <si>
    <t>UJS-A019-01</t>
    <phoneticPr fontId="2" type="noConversion"/>
  </si>
  <si>
    <t>UJS-A019-02</t>
  </si>
  <si>
    <t>UJS-A019-03</t>
  </si>
  <si>
    <t>UJS-A019-04</t>
  </si>
  <si>
    <t>UJS-A019-05</t>
  </si>
  <si>
    <t>UJS-A019-06</t>
  </si>
  <si>
    <t>UJS-A019-07</t>
  </si>
  <si>
    <t>UJS-A020-01</t>
    <phoneticPr fontId="2" type="noConversion"/>
  </si>
  <si>
    <t>UJS-A020-02</t>
  </si>
  <si>
    <t>UJS-A024-01</t>
    <phoneticPr fontId="2" type="noConversion"/>
  </si>
  <si>
    <t>UJS-A024-02</t>
  </si>
  <si>
    <t>UJS-A024-03</t>
  </si>
  <si>
    <t>UJS-A024-04</t>
  </si>
  <si>
    <t>UJS-A024-05</t>
  </si>
  <si>
    <t>UJS-A023-01</t>
    <phoneticPr fontId="2" type="noConversion"/>
  </si>
  <si>
    <t>UJS-A023-02</t>
  </si>
  <si>
    <t>UJS-A023-03</t>
  </si>
  <si>
    <t>UJS-A023-04</t>
  </si>
  <si>
    <t>2025-D-0001-101-1</t>
    <phoneticPr fontId="2" type="noConversion"/>
  </si>
  <si>
    <t>UJS-A023-04(QA/QC)</t>
    <phoneticPr fontId="2" type="noConversion"/>
  </si>
  <si>
    <t>UJS-A027-01</t>
    <phoneticPr fontId="2" type="noConversion"/>
  </si>
  <si>
    <t>UJS-A027-02</t>
  </si>
  <si>
    <t>UJS-A027-03</t>
  </si>
  <si>
    <t>UJS-A035-01</t>
    <phoneticPr fontId="2" type="noConversion"/>
  </si>
  <si>
    <t>UJS-A035-02</t>
  </si>
  <si>
    <t>UJS-A035-03</t>
  </si>
  <si>
    <t>UJS-A035-04</t>
  </si>
  <si>
    <t>UJS-A035-05</t>
  </si>
  <si>
    <t>UJS-A035-06</t>
  </si>
  <si>
    <t>2025-D-0001-110-1</t>
    <phoneticPr fontId="2" type="noConversion"/>
  </si>
  <si>
    <t>2025-D-0001-110-2</t>
  </si>
  <si>
    <t>FB20251021</t>
    <phoneticPr fontId="2" type="noConversion"/>
  </si>
  <si>
    <t>EB20251021</t>
    <phoneticPr fontId="2" type="noConversion"/>
  </si>
  <si>
    <t>UJS-A044-01</t>
    <phoneticPr fontId="2" type="noConversion"/>
  </si>
  <si>
    <t>UJS-A046-01</t>
    <phoneticPr fontId="2" type="noConversion"/>
  </si>
  <si>
    <t>UJS-A047-01</t>
    <phoneticPr fontId="2" type="noConversion"/>
  </si>
  <si>
    <t>UJS-A055-01</t>
    <phoneticPr fontId="2" type="noConversion"/>
  </si>
  <si>
    <t>UJS-A061-01</t>
    <phoneticPr fontId="2" type="noConversion"/>
  </si>
  <si>
    <t>UJS-A061-02</t>
  </si>
  <si>
    <t>UJS-A061-03</t>
  </si>
  <si>
    <t>UJS-A061-04</t>
  </si>
  <si>
    <t>UJS-A061-05</t>
  </si>
  <si>
    <t>UJS-A061-06</t>
  </si>
  <si>
    <t>UJS-A061-07</t>
  </si>
  <si>
    <t>UJS-A060-01</t>
    <phoneticPr fontId="2" type="noConversion"/>
  </si>
  <si>
    <t>UJS-A060-02</t>
  </si>
  <si>
    <t>UJS-A060-03</t>
  </si>
  <si>
    <t>UJS-A060-04</t>
  </si>
  <si>
    <t>UJS-A060-05</t>
  </si>
  <si>
    <t>UJS-A060-06</t>
  </si>
  <si>
    <t>UJS-A063-01</t>
    <phoneticPr fontId="2" type="noConversion"/>
  </si>
  <si>
    <t>UJS-A063-02</t>
  </si>
  <si>
    <t>UJS-A063-03</t>
  </si>
  <si>
    <t>UJS-A063-04</t>
  </si>
  <si>
    <t>UJS-A063-05</t>
  </si>
  <si>
    <t>UJS-A063-06</t>
  </si>
  <si>
    <t>2025-D-0001-130-1</t>
    <phoneticPr fontId="2" type="noConversion"/>
  </si>
  <si>
    <t>UJS-A063-03(QA/QC)</t>
    <phoneticPr fontId="2" type="noConversion"/>
  </si>
  <si>
    <t>UJS-A071-01</t>
    <phoneticPr fontId="2" type="noConversion"/>
  </si>
  <si>
    <t>UJS-A071-02</t>
  </si>
  <si>
    <t>UJS-A071-03</t>
  </si>
  <si>
    <t>UJS-A071-04</t>
  </si>
  <si>
    <t>UJS-A071-05</t>
  </si>
  <si>
    <t>UJS-A071-06</t>
  </si>
  <si>
    <t>UJS-A071-07</t>
  </si>
  <si>
    <t>UJS-A071-08</t>
  </si>
  <si>
    <t>UJS-A068-01</t>
    <phoneticPr fontId="2" type="noConversion"/>
  </si>
  <si>
    <t>UJS-A068-02</t>
  </si>
  <si>
    <t>UJS-A068-03</t>
  </si>
  <si>
    <t>UJS-A068-04</t>
  </si>
  <si>
    <t>UJS-A068-05</t>
  </si>
  <si>
    <t>UJS-A068-06</t>
  </si>
  <si>
    <t>UJS-A068-07</t>
  </si>
  <si>
    <t>UJS-A068-08</t>
  </si>
  <si>
    <t>UJS-A069-01</t>
    <phoneticPr fontId="2" type="noConversion"/>
  </si>
  <si>
    <t>UJS-A069-02</t>
  </si>
  <si>
    <t>UJS-A069-03</t>
  </si>
  <si>
    <t>UJS-A069-04</t>
  </si>
  <si>
    <t>UJS-A069-05</t>
  </si>
  <si>
    <t>UJS-A069-06</t>
  </si>
  <si>
    <t>UJS-A069-07</t>
  </si>
  <si>
    <t>UJS-A069-08</t>
  </si>
  <si>
    <t>2025-D-0001-150-1</t>
    <phoneticPr fontId="2" type="noConversion"/>
  </si>
  <si>
    <t>UJS-A069-01(QA/QC)</t>
    <phoneticPr fontId="2" type="noConversion"/>
  </si>
  <si>
    <t>UJS-A072-01</t>
    <phoneticPr fontId="2" type="noConversion"/>
  </si>
  <si>
    <t>UJS-A072-02</t>
  </si>
  <si>
    <t>UJS-A072-03</t>
  </si>
  <si>
    <t>UJS-A072-04</t>
  </si>
  <si>
    <t>UJS-A072-05</t>
  </si>
  <si>
    <t>UJS-A072-06</t>
  </si>
  <si>
    <t>UJS-A072-07</t>
  </si>
  <si>
    <t>UJS-A072-08</t>
  </si>
  <si>
    <t>UJS-A073-01</t>
    <phoneticPr fontId="2" type="noConversion"/>
  </si>
  <si>
    <t>UJS-A073-02</t>
  </si>
  <si>
    <t>UJS-A073-03</t>
  </si>
  <si>
    <t>UJS-A073-04</t>
  </si>
  <si>
    <t>UJS-A073-05</t>
  </si>
  <si>
    <t>UJS-A073-06</t>
  </si>
  <si>
    <t>2025-D-0001-170-1</t>
    <phoneticPr fontId="2" type="noConversion"/>
  </si>
  <si>
    <t>UJS-A073-05(QA/QC)</t>
    <phoneticPr fontId="2" type="noConversion"/>
  </si>
  <si>
    <t>UJS-A070-01</t>
    <phoneticPr fontId="2" type="noConversion"/>
  </si>
  <si>
    <t>UJS-A070-02</t>
  </si>
  <si>
    <t>UJS-A070-03</t>
  </si>
  <si>
    <t>UJS-A070-04</t>
  </si>
  <si>
    <t>UJS-A070-05</t>
  </si>
  <si>
    <t>UJS-A070-06</t>
  </si>
  <si>
    <t>UJS-A070-07</t>
  </si>
  <si>
    <t>2025-D-0001-178-1</t>
    <phoneticPr fontId="2" type="noConversion"/>
  </si>
  <si>
    <t>UJS-A070-07(QA/QC)</t>
    <phoneticPr fontId="2" type="noConversion"/>
  </si>
  <si>
    <t>UJS-A026-01</t>
    <phoneticPr fontId="2" type="noConversion"/>
  </si>
  <si>
    <t>UJS-A026-02</t>
  </si>
  <si>
    <t>UJS-A026-03</t>
  </si>
  <si>
    <t>UJS-A025-01</t>
    <phoneticPr fontId="2" type="noConversion"/>
  </si>
  <si>
    <t>UJS-A025-02</t>
  </si>
  <si>
    <t>UJS-A025-03</t>
  </si>
  <si>
    <t>UJS-A062-01</t>
    <phoneticPr fontId="2" type="noConversion"/>
  </si>
  <si>
    <t>UJS-A062-02</t>
  </si>
  <si>
    <t>UJS-A062-03</t>
  </si>
  <si>
    <t>UJS-A062-04</t>
  </si>
  <si>
    <t>UJS-A062-05</t>
  </si>
  <si>
    <t>2025-D-0001-188-1</t>
    <phoneticPr fontId="2" type="noConversion"/>
  </si>
  <si>
    <t>UJS-A062-04(QA/QC)</t>
    <phoneticPr fontId="2" type="noConversion"/>
  </si>
  <si>
    <t>ND</t>
    <phoneticPr fontId="2" type="noConversion"/>
  </si>
  <si>
    <t>TB20251015</t>
    <phoneticPr fontId="2" type="noConversion"/>
  </si>
  <si>
    <t>TB20251021</t>
    <phoneticPr fontId="2" type="noConversion"/>
  </si>
  <si>
    <t>온도(℃)</t>
    <phoneticPr fontId="38" type="noConversion"/>
  </si>
  <si>
    <t>12/16 재채취함-데이터 비교 후 성적서에 둘중 하나 골라서 들어갈 예정</t>
    <phoneticPr fontId="2" type="noConversion"/>
  </si>
  <si>
    <t>2025-D-0001-190</t>
  </si>
  <si>
    <t>2025-D-0001-191</t>
  </si>
  <si>
    <t>UJS-A062-07</t>
  </si>
  <si>
    <t>2025-D-0001-192</t>
  </si>
  <si>
    <t>UJS-A062-08</t>
  </si>
  <si>
    <t>2025-D-0001-193</t>
  </si>
  <si>
    <t>2025-D-0001-194</t>
  </si>
  <si>
    <t>2025-D-0001-195</t>
  </si>
  <si>
    <t>2025-D-0001-196</t>
  </si>
  <si>
    <t>2025-D-0001-197</t>
  </si>
  <si>
    <t>2025-D-0001-198</t>
  </si>
  <si>
    <t>2025-D-0001-199</t>
  </si>
  <si>
    <t>2025-D-0001-200</t>
  </si>
  <si>
    <t>2025-D-0001-201</t>
  </si>
  <si>
    <t>2025-D-0001-202</t>
  </si>
  <si>
    <t>2025-D-0001-203</t>
  </si>
  <si>
    <t>2025-D-0001-204</t>
  </si>
  <si>
    <t>2025-D-0001-205</t>
  </si>
  <si>
    <t>2025-D-0001-206</t>
  </si>
  <si>
    <t>2025-D-0001-207</t>
  </si>
  <si>
    <t>2025-D-0001-208</t>
  </si>
  <si>
    <t>2025-D-0001-209</t>
  </si>
  <si>
    <t>2025-D-0001-210</t>
  </si>
  <si>
    <t>2025-D-0001-211</t>
  </si>
  <si>
    <t>2025-D-0001-212</t>
  </si>
  <si>
    <t>2025-D-0001-213</t>
  </si>
  <si>
    <t>2025-D-0001-214</t>
  </si>
  <si>
    <t>2025-D-0001-215</t>
  </si>
  <si>
    <t>2025-D-0001-216</t>
  </si>
  <si>
    <t>2025-D-0001-217</t>
  </si>
  <si>
    <t>2025-D-0001-218</t>
  </si>
  <si>
    <t>2025-D-0001-219</t>
  </si>
  <si>
    <t>2025-D-0001-220</t>
  </si>
  <si>
    <t>2025-D-0001-221</t>
  </si>
  <si>
    <t>2025-D-0001-222</t>
  </si>
  <si>
    <t>2025-D-0001-223</t>
  </si>
  <si>
    <t>2025-D-0001-224</t>
  </si>
  <si>
    <t>2025-D-0001-225</t>
  </si>
  <si>
    <t>2025-D-0001-226</t>
  </si>
  <si>
    <t>2025-D-0001-227</t>
  </si>
  <si>
    <t>2025-D-0001-228</t>
  </si>
  <si>
    <t>2025-D-0001-229</t>
  </si>
  <si>
    <t>2025-D-0001-230</t>
  </si>
  <si>
    <t>2025-D-0001-231</t>
  </si>
  <si>
    <t>2025-D-0001-232</t>
  </si>
  <si>
    <t>2025-D-0001-233</t>
  </si>
  <si>
    <t>2025-D-0001-234</t>
  </si>
  <si>
    <t>2025-D-0001-235</t>
  </si>
  <si>
    <t>2025-D-0001-236</t>
  </si>
  <si>
    <t>2025-D-0001-237</t>
  </si>
  <si>
    <t>2025-D-0001-238</t>
  </si>
  <si>
    <t>2025-D-0001-239</t>
  </si>
  <si>
    <t>2025-D-0001-240</t>
  </si>
  <si>
    <t>2025-D-0001-241</t>
  </si>
  <si>
    <t>2025-D-0001-242</t>
  </si>
  <si>
    <t>2025-D-0001-243</t>
  </si>
  <si>
    <t>2025-D-0001-244</t>
  </si>
  <si>
    <t>2025-D-0001-245</t>
  </si>
  <si>
    <t>2025-D-0001-246</t>
  </si>
  <si>
    <t>2025-D-0001-247</t>
  </si>
  <si>
    <t>2025-D-0001-248</t>
  </si>
  <si>
    <t>2025-D-0001-249</t>
  </si>
  <si>
    <t>2025-D-0001-250</t>
  </si>
  <si>
    <t>2025-D-0001-251</t>
  </si>
  <si>
    <t>2025-D-0001-252</t>
  </si>
  <si>
    <t>2025-D-0001-253</t>
  </si>
  <si>
    <t>2025-D-0001-254</t>
  </si>
  <si>
    <t>2025-D-0001-255</t>
  </si>
  <si>
    <t>2025-D-0001-256</t>
  </si>
  <si>
    <t>2025-D-0001-257</t>
  </si>
  <si>
    <t>2025-D-0001-258</t>
  </si>
  <si>
    <t>2025-D-0001-259</t>
  </si>
  <si>
    <t>2025-D-0001-260</t>
  </si>
  <si>
    <t>2025-D-0001-261</t>
  </si>
  <si>
    <t>2025-D-0001-262</t>
  </si>
  <si>
    <t>2025-D-0001-263</t>
  </si>
  <si>
    <t>2025-D-0001-264</t>
  </si>
  <si>
    <t>2025-D-0001-265</t>
  </si>
  <si>
    <t>2025-D-0001-266</t>
  </si>
  <si>
    <t>2025-D-0001-267</t>
  </si>
  <si>
    <t>2025-D-0001-268</t>
  </si>
  <si>
    <t>2025-D-0001-269</t>
  </si>
  <si>
    <t>2025-D-0001-270</t>
  </si>
  <si>
    <t>2025-D-0001-271</t>
  </si>
  <si>
    <t>2025-D-0001-272</t>
  </si>
  <si>
    <t>2025-D-0001-273</t>
  </si>
  <si>
    <t>2025-D-0001-274</t>
  </si>
  <si>
    <t>정밀조사</t>
    <phoneticPr fontId="2" type="noConversion"/>
  </si>
  <si>
    <t>UJS-B032-01</t>
    <phoneticPr fontId="2" type="noConversion"/>
  </si>
  <si>
    <t>UJS-B032-02</t>
  </si>
  <si>
    <t>UJS-B032-03</t>
  </si>
  <si>
    <t>UJS-B032-04</t>
  </si>
  <si>
    <t>UJS-B033-01</t>
    <phoneticPr fontId="2" type="noConversion"/>
  </si>
  <si>
    <t>UJS-B033-02</t>
  </si>
  <si>
    <t>UJS-B033-03</t>
  </si>
  <si>
    <t>UJS-B033-04</t>
  </si>
  <si>
    <t>UJS-B033-05</t>
  </si>
  <si>
    <t>UJS-B034-01</t>
    <phoneticPr fontId="2" type="noConversion"/>
  </si>
  <si>
    <t>UJS-B034-02</t>
  </si>
  <si>
    <t>UJS-B034-03</t>
  </si>
  <si>
    <t>UJS-B034-04</t>
  </si>
  <si>
    <t>UJS-B034-05</t>
  </si>
  <si>
    <t>UJS-B035-01</t>
    <phoneticPr fontId="2" type="noConversion"/>
  </si>
  <si>
    <t>UJS-B035-02</t>
  </si>
  <si>
    <t>UJS-B035-03</t>
  </si>
  <si>
    <t>UJS-B035-04</t>
  </si>
  <si>
    <t>2025-D-0001-207-1</t>
    <phoneticPr fontId="2" type="noConversion"/>
  </si>
  <si>
    <t>UJS-B035-04(QA/QC)</t>
    <phoneticPr fontId="2" type="noConversion"/>
  </si>
  <si>
    <t>2025-D-0001-207-2</t>
    <phoneticPr fontId="2" type="noConversion"/>
  </si>
  <si>
    <t>FB20251215</t>
    <phoneticPr fontId="2" type="noConversion"/>
  </si>
  <si>
    <t>TB20251215</t>
    <phoneticPr fontId="2" type="noConversion"/>
  </si>
  <si>
    <t>UJS-B036-01</t>
    <phoneticPr fontId="2" type="noConversion"/>
  </si>
  <si>
    <t>UJS-B036-02</t>
  </si>
  <si>
    <t>UJS-B036-03</t>
  </si>
  <si>
    <t>UJS-B036-04</t>
  </si>
  <si>
    <t>UJS-B037-01</t>
    <phoneticPr fontId="2" type="noConversion"/>
  </si>
  <si>
    <t>UJS-B037-02</t>
  </si>
  <si>
    <t>UJS-B037-03</t>
  </si>
  <si>
    <t>UJS-B037-04</t>
  </si>
  <si>
    <t>UJS-B038-01</t>
    <phoneticPr fontId="2" type="noConversion"/>
  </si>
  <si>
    <t>UJS-B038-02</t>
  </si>
  <si>
    <t>UJS-B038-03</t>
  </si>
  <si>
    <t>UJS-B038-04</t>
  </si>
  <si>
    <t>UJS-B039-01</t>
    <phoneticPr fontId="2" type="noConversion"/>
  </si>
  <si>
    <t>UJS-B039-02</t>
  </si>
  <si>
    <t>UJS-B039-03</t>
  </si>
  <si>
    <t>UJS-B039-04</t>
  </si>
  <si>
    <t>UJS-B039-05</t>
  </si>
  <si>
    <t>UJS-B039-06</t>
  </si>
  <si>
    <t>2025-D-0001-225-1</t>
    <phoneticPr fontId="2" type="noConversion"/>
  </si>
  <si>
    <t>UJS-B039-06(QA/QC)</t>
    <phoneticPr fontId="2" type="noConversion"/>
  </si>
  <si>
    <t>UJS-A026-03</t>
    <phoneticPr fontId="2" type="noConversion"/>
  </si>
  <si>
    <t>UJS-A026-04</t>
  </si>
  <si>
    <t>UJS-A025-03</t>
    <phoneticPr fontId="2" type="noConversion"/>
  </si>
  <si>
    <t>UJS-A025-05</t>
  </si>
  <si>
    <t>UJS-A025-06</t>
  </si>
  <si>
    <t>개황조사 추가심도</t>
    <phoneticPr fontId="2" type="noConversion"/>
  </si>
  <si>
    <t>UJS-B004-01</t>
    <phoneticPr fontId="2" type="noConversion"/>
  </si>
  <si>
    <t>UJS-B004-02</t>
  </si>
  <si>
    <t>UJS-B004-03</t>
  </si>
  <si>
    <t>UJS-B004-04</t>
  </si>
  <si>
    <t>UJS-B004-05</t>
  </si>
  <si>
    <t>UJS-B001-01</t>
    <phoneticPr fontId="2" type="noConversion"/>
  </si>
  <si>
    <t>UJS-B001-02</t>
  </si>
  <si>
    <t>UJS-B001-03</t>
  </si>
  <si>
    <t>UJS-B001-04</t>
  </si>
  <si>
    <t>UJS-B001-05</t>
  </si>
  <si>
    <t>UJS-B003-01</t>
    <phoneticPr fontId="2" type="noConversion"/>
  </si>
  <si>
    <t>UJS-B003-02</t>
  </si>
  <si>
    <t>UJS-B003-03</t>
  </si>
  <si>
    <t>UJS-B003-04</t>
  </si>
  <si>
    <t>UJS-B003-05</t>
  </si>
  <si>
    <t>2025-D-0001-246-1</t>
    <phoneticPr fontId="2" type="noConversion"/>
  </si>
  <si>
    <t>UJS-B003-05(QA/QC)</t>
    <phoneticPr fontId="2" type="noConversion"/>
  </si>
  <si>
    <t>UJS-B002-01</t>
    <phoneticPr fontId="2" type="noConversion"/>
  </si>
  <si>
    <t>UJS-B002-02</t>
  </si>
  <si>
    <t>UJS-B002-03</t>
  </si>
  <si>
    <t>UJS-B002-04</t>
  </si>
  <si>
    <t>UJS-B002-05</t>
  </si>
  <si>
    <t>UJS-A062-06</t>
    <phoneticPr fontId="2" type="noConversion"/>
  </si>
  <si>
    <t>UJS-B005-01</t>
    <phoneticPr fontId="2" type="noConversion"/>
  </si>
  <si>
    <t>UJS-B005-02</t>
  </si>
  <si>
    <t>UJS-B005-03</t>
  </si>
  <si>
    <t>UJS-B005-04</t>
  </si>
  <si>
    <t>UJS-B007-01</t>
    <phoneticPr fontId="2" type="noConversion"/>
  </si>
  <si>
    <t>UJS-B007-02</t>
  </si>
  <si>
    <t>UJS-B007-03</t>
  </si>
  <si>
    <t>UJS-B007-04</t>
  </si>
  <si>
    <t>UJS-B008-01</t>
    <phoneticPr fontId="2" type="noConversion"/>
  </si>
  <si>
    <t>UJS-B008-02</t>
  </si>
  <si>
    <t>UJS-B008-03</t>
  </si>
  <si>
    <t>UJS-B008-04</t>
  </si>
  <si>
    <t>2025-D-0001-266-1</t>
    <phoneticPr fontId="2" type="noConversion"/>
  </si>
  <si>
    <t>UJS-B008-04(QA/QC)</t>
    <phoneticPr fontId="2" type="noConversion"/>
  </si>
  <si>
    <t>UJS-B040-01</t>
    <phoneticPr fontId="2" type="noConversion"/>
  </si>
  <si>
    <t>UJS-B040-02</t>
  </si>
  <si>
    <t>UJS-B040-03</t>
  </si>
  <si>
    <t>UJS-B040-04</t>
  </si>
  <si>
    <t>UJS-B006-01</t>
    <phoneticPr fontId="2" type="noConversion"/>
  </si>
  <si>
    <t>UJS-B006-02</t>
  </si>
  <si>
    <t>UJS-B006-03</t>
  </si>
  <si>
    <t>UJS-B006-04</t>
  </si>
  <si>
    <t>2025-D-0001-274-1</t>
    <phoneticPr fontId="2" type="noConversion"/>
  </si>
  <si>
    <t>2025-D-0001-274-2</t>
  </si>
  <si>
    <t>UJS-B006-04(QA/QC)</t>
    <phoneticPr fontId="2" type="noConversion"/>
  </si>
  <si>
    <t>EB20251216</t>
    <phoneticPr fontId="2" type="noConversion"/>
  </si>
  <si>
    <t>2025-D-0001-275</t>
    <phoneticPr fontId="2" type="noConversion"/>
  </si>
  <si>
    <t>UJS-B013-01</t>
    <phoneticPr fontId="2" type="noConversion"/>
  </si>
  <si>
    <t>2025-D-0001-276</t>
  </si>
  <si>
    <t>UJS-B013-02</t>
  </si>
  <si>
    <t>2025-D-0001-277</t>
  </si>
  <si>
    <t>UJS-B013-03</t>
  </si>
  <si>
    <t>2025-D-0001-278</t>
  </si>
  <si>
    <t>UJS-B013-04</t>
  </si>
  <si>
    <t>2025-D-0001-279</t>
  </si>
  <si>
    <t>UJS-B013-05</t>
  </si>
  <si>
    <t>2025-D-0001-280</t>
  </si>
  <si>
    <t>UJS-B013-06</t>
  </si>
  <si>
    <t>2025-D-0001-281</t>
  </si>
  <si>
    <t>2025-D-0001-282</t>
  </si>
  <si>
    <t>2025-D-0001-283</t>
  </si>
  <si>
    <t>2025-D-0001-284</t>
  </si>
  <si>
    <t>2025-D-0001-285</t>
  </si>
  <si>
    <t>2025-D-0001-286</t>
  </si>
  <si>
    <t>2025-D-0001-287</t>
  </si>
  <si>
    <t>2025-D-0001-288</t>
  </si>
  <si>
    <t>2025-D-0001-289</t>
  </si>
  <si>
    <t>2025-D-0001-290</t>
  </si>
  <si>
    <t>2025-D-0001-291</t>
  </si>
  <si>
    <t>2025-D-0001-292</t>
  </si>
  <si>
    <t>2025-D-0001-293</t>
  </si>
  <si>
    <t>2025-D-0001-294</t>
  </si>
  <si>
    <t>2025-D-0001-295</t>
  </si>
  <si>
    <t>2025-D-0001-296</t>
  </si>
  <si>
    <t>2025-D-0001-297</t>
  </si>
  <si>
    <t>2025-D-0001-298</t>
  </si>
  <si>
    <t>2025-D-0001-299</t>
  </si>
  <si>
    <t>2025-D-0001-300</t>
  </si>
  <si>
    <t>2025-D-0001-301</t>
  </si>
  <si>
    <t>2025-D-0001-302</t>
  </si>
  <si>
    <t>2025-D-0001-303</t>
  </si>
  <si>
    <t>2025-D-0001-304</t>
  </si>
  <si>
    <t>2025-D-0001-305</t>
  </si>
  <si>
    <t>2025-D-0001-306</t>
  </si>
  <si>
    <t>2025-D-0001-307</t>
  </si>
  <si>
    <t>2025-D-0001-308</t>
  </si>
  <si>
    <t>2025-D-0001-309</t>
  </si>
  <si>
    <t>2025-D-0001-310</t>
  </si>
  <si>
    <t>2025-D-0001-311</t>
  </si>
  <si>
    <t>2025-D-0001-312</t>
  </si>
  <si>
    <t>2025-D-0001-313</t>
  </si>
  <si>
    <t>2025-D-0001-314</t>
  </si>
  <si>
    <t>2025-D-0001-315</t>
  </si>
  <si>
    <t>2025-D-0001-316</t>
  </si>
  <si>
    <t>2025-D-0001-317</t>
  </si>
  <si>
    <t>2025-D-0001-318</t>
  </si>
  <si>
    <t>2025-D-0001-319</t>
  </si>
  <si>
    <t>2025-D-0001-320</t>
  </si>
  <si>
    <t>2025-D-0001-321</t>
  </si>
  <si>
    <t>2025-D-0001-322</t>
  </si>
  <si>
    <t>2025-D-0001-323</t>
  </si>
  <si>
    <t>2025-D-0001-324</t>
  </si>
  <si>
    <t>2025-D-0001-325</t>
  </si>
  <si>
    <t>2025-D-0001-326</t>
  </si>
  <si>
    <t>2025-D-0001-327</t>
  </si>
  <si>
    <t>2025-D-0001-328</t>
  </si>
  <si>
    <t>2025-D-0001-329</t>
  </si>
  <si>
    <t>2025-D-0001-330</t>
  </si>
  <si>
    <t>2025-D-0001-331</t>
  </si>
  <si>
    <t>2025-D-0001-332</t>
  </si>
  <si>
    <t>2025-D-0001-333</t>
  </si>
  <si>
    <t>2025-D-0001-334</t>
  </si>
  <si>
    <t>2025-D-0001-335</t>
  </si>
  <si>
    <t>2025-D-0001-336</t>
  </si>
  <si>
    <t>2025-D-0001-337</t>
  </si>
  <si>
    <t>2025-D-0001-338</t>
  </si>
  <si>
    <t>2025-D-0001-339</t>
  </si>
  <si>
    <t>2025-D-0001-340</t>
  </si>
  <si>
    <t>2025-D-0001-341</t>
  </si>
  <si>
    <t>2025-D-0001-342</t>
  </si>
  <si>
    <t>2025-D-0001-343</t>
  </si>
  <si>
    <t>2025-D-0001-344</t>
  </si>
  <si>
    <t>2025-D-0001-345</t>
  </si>
  <si>
    <t>2025-D-0001-346</t>
  </si>
  <si>
    <t>2025-D-0001-347</t>
  </si>
  <si>
    <t>2025-D-0001-348</t>
  </si>
  <si>
    <t>2025-D-0001-349</t>
  </si>
  <si>
    <t>2025-D-0001-350</t>
  </si>
  <si>
    <t>2025-D-0001-351</t>
  </si>
  <si>
    <t>2025-D-0001-352</t>
  </si>
  <si>
    <t>2025-D-0001-353</t>
  </si>
  <si>
    <t>2025-D-0001-354</t>
  </si>
  <si>
    <t>2025-D-0001-355</t>
  </si>
  <si>
    <t>2025-D-0001-356</t>
  </si>
  <si>
    <t>2025-D-0001-357</t>
  </si>
  <si>
    <t>2025-D-0001-358</t>
  </si>
  <si>
    <t>2025-D-0001-359</t>
  </si>
  <si>
    <t>2025-D-0001-360</t>
  </si>
  <si>
    <t>2025-D-0001-361</t>
  </si>
  <si>
    <t>2025-D-0001-362</t>
  </si>
  <si>
    <t>2025-D-0001-363</t>
  </si>
  <si>
    <t>2025-D-0001-364</t>
  </si>
  <si>
    <t>2025-D-0001-365</t>
  </si>
  <si>
    <t>2025-D-0001-366</t>
  </si>
  <si>
    <t>2025-D-0001-367</t>
  </si>
  <si>
    <t>2025-D-0001-368</t>
  </si>
  <si>
    <t>2025-D-0001-369</t>
  </si>
  <si>
    <t>2025-D-0001-370</t>
  </si>
  <si>
    <t>2025-D-0001-371</t>
  </si>
  <si>
    <t>2025-D-0001-372</t>
  </si>
  <si>
    <t>2025-D-0001-373</t>
  </si>
  <si>
    <t>2025-D-0001-374</t>
  </si>
  <si>
    <t>2025-D-0001-375</t>
  </si>
  <si>
    <t>2025-D-0001-376</t>
  </si>
  <si>
    <t>2025-D-0001-377</t>
  </si>
  <si>
    <t>2025-D-0001-378</t>
  </si>
  <si>
    <t>2025-D-0001-379</t>
  </si>
  <si>
    <t>2025-D-0001-380</t>
  </si>
  <si>
    <t>2025-D-0001-381</t>
  </si>
  <si>
    <t>2025-D-0001-382</t>
  </si>
  <si>
    <t>2025-D-0001-383</t>
  </si>
  <si>
    <t>2025-D-0001-384</t>
  </si>
  <si>
    <t>2025-D-0001-385</t>
  </si>
  <si>
    <t>2025-D-0001-386</t>
  </si>
  <si>
    <t>2025-D-0001-387</t>
  </si>
  <si>
    <t>2025-D-0001-388</t>
  </si>
  <si>
    <t>2025-D-0001-389</t>
  </si>
  <si>
    <t>2025-D-0001-390</t>
  </si>
  <si>
    <t>2025-D-0001-391</t>
  </si>
  <si>
    <t>2025-D-0001-392</t>
  </si>
  <si>
    <t>2025-D-0001-393</t>
  </si>
  <si>
    <t>2025-D-0001-394</t>
  </si>
  <si>
    <t>2025-D-0001-395</t>
  </si>
  <si>
    <t>2025-D-0001-396</t>
  </si>
  <si>
    <t>2025-D-0001-397</t>
  </si>
  <si>
    <t>2025-D-0001-398</t>
  </si>
  <si>
    <t>2025-D-0001-399</t>
  </si>
  <si>
    <t>2025-D-0001-400</t>
  </si>
  <si>
    <t>2025-D-0001-401</t>
  </si>
  <si>
    <t>2025-D-0001-402</t>
  </si>
  <si>
    <t>2025-D-0001-403</t>
  </si>
  <si>
    <t>2025-D-0001-404</t>
  </si>
  <si>
    <t>2025-D-0001-405</t>
  </si>
  <si>
    <t>2025-D-0001-406</t>
  </si>
  <si>
    <t>2025-D-0001-407</t>
  </si>
  <si>
    <t>2025-D-0001-408</t>
  </si>
  <si>
    <t>2025-D-0001-409</t>
  </si>
  <si>
    <t>2025-D-0001-410</t>
  </si>
  <si>
    <t>2025-D-0001-411</t>
  </si>
  <si>
    <t>2025-D-0001-412</t>
  </si>
  <si>
    <t>2025-D-0001-413</t>
  </si>
  <si>
    <t>2025-D-0001-414</t>
  </si>
  <si>
    <t>2025-D-0001-416</t>
  </si>
  <si>
    <t>2025-D-0001-417</t>
  </si>
  <si>
    <t>2025-D-0001-418</t>
  </si>
  <si>
    <t>2025-D-0001-419</t>
  </si>
  <si>
    <t>2025-D-0001-420</t>
  </si>
  <si>
    <t>2025-D-0001-421</t>
  </si>
  <si>
    <t>2025-D-0001-422</t>
  </si>
  <si>
    <t>2025-D-0001-423</t>
  </si>
  <si>
    <t>2025-D-0001-424</t>
  </si>
  <si>
    <t>2025-D-0001-425</t>
  </si>
  <si>
    <t>2025-D-0001-426</t>
  </si>
  <si>
    <t>2025-D-0001-427</t>
  </si>
  <si>
    <t>2025-D-0001-428</t>
  </si>
  <si>
    <t>2025-D-0001-429</t>
  </si>
  <si>
    <t>2025-D-0001-430</t>
  </si>
  <si>
    <t>2025-D-0001-431</t>
  </si>
  <si>
    <t>2025-D-0001-432</t>
  </si>
  <si>
    <t>2025-D-0001-433</t>
  </si>
  <si>
    <t>2025-D-0001-434</t>
  </si>
  <si>
    <t>2025-D-0001-435</t>
  </si>
  <si>
    <t>2025-D-0001-436</t>
  </si>
  <si>
    <t>2025-D-0001-437</t>
  </si>
  <si>
    <t>2025-D-0001-438</t>
  </si>
  <si>
    <t>2025-D-0001-439</t>
  </si>
  <si>
    <t>2025-D-0001-440</t>
  </si>
  <si>
    <t>2025-D-0001-441</t>
  </si>
  <si>
    <t>2025-D-0001-442</t>
  </si>
  <si>
    <t>2025-D-0001-443</t>
  </si>
  <si>
    <t>2025-D-0001-444</t>
  </si>
  <si>
    <t>2025-D-0001-445</t>
  </si>
  <si>
    <t>2025-D-0001-446</t>
  </si>
  <si>
    <t>2025-D-0001-447</t>
  </si>
  <si>
    <t>2025-D-0001-448</t>
  </si>
  <si>
    <t>2025-D-0001-449</t>
  </si>
  <si>
    <t>2025-D-0001-450</t>
  </si>
  <si>
    <t>UJS-B009-01</t>
    <phoneticPr fontId="2" type="noConversion"/>
  </si>
  <si>
    <t>UJS-B009-02</t>
  </si>
  <si>
    <t>UJS-B009-03</t>
  </si>
  <si>
    <t>UJS-B009-04</t>
  </si>
  <si>
    <t>UJS-B009-05</t>
  </si>
  <si>
    <t>UJS-B009-06</t>
  </si>
  <si>
    <t>UJS-B009-07</t>
  </si>
  <si>
    <t>UJS-B011-01</t>
    <phoneticPr fontId="2" type="noConversion"/>
  </si>
  <si>
    <t>UJS-B011-02</t>
  </si>
  <si>
    <t>UJS-B011-03</t>
  </si>
  <si>
    <t>UJS-B011-04</t>
  </si>
  <si>
    <t>UJS-B011-05</t>
  </si>
  <si>
    <t>UJS-B011-06</t>
  </si>
  <si>
    <t>UJS-B011-07</t>
  </si>
  <si>
    <t>UJS-B011-08</t>
  </si>
  <si>
    <t>2025-D-0001-293-1</t>
    <phoneticPr fontId="2" type="noConversion"/>
  </si>
  <si>
    <t>UJS-B011-06(QA/QC)</t>
    <phoneticPr fontId="2" type="noConversion"/>
  </si>
  <si>
    <t>UJS-B012-01</t>
    <phoneticPr fontId="2" type="noConversion"/>
  </si>
  <si>
    <t>UJS-B012-02</t>
  </si>
  <si>
    <t>UJS-B012-03</t>
  </si>
  <si>
    <t>UJS-B012-04</t>
  </si>
  <si>
    <t>UJS-B012-05</t>
  </si>
  <si>
    <t>UJS-B012-06</t>
  </si>
  <si>
    <t>UJS-B012-07</t>
  </si>
  <si>
    <t>UJS-A067-02</t>
    <phoneticPr fontId="2" type="noConversion"/>
  </si>
  <si>
    <t>UJS-A067-03</t>
  </si>
  <si>
    <t>UJS-A067-04</t>
  </si>
  <si>
    <t>UJS-A067-05</t>
  </si>
  <si>
    <t>UJS-A067-06</t>
  </si>
  <si>
    <t>UJS-A067-07</t>
  </si>
  <si>
    <t>UJS-B010-01</t>
    <phoneticPr fontId="2" type="noConversion"/>
  </si>
  <si>
    <t>UJS-B010-02</t>
  </si>
  <si>
    <t>UJS-B010-03</t>
  </si>
  <si>
    <t>UJS-B010-04</t>
  </si>
  <si>
    <t>UJS-B010-05</t>
  </si>
  <si>
    <t>UJS-B010-06</t>
  </si>
  <si>
    <t>2025-D-0001-313-1</t>
    <phoneticPr fontId="2" type="noConversion"/>
  </si>
  <si>
    <t>UJS-B010-05(QA/QC)</t>
    <phoneticPr fontId="2" type="noConversion"/>
  </si>
  <si>
    <t>UJS-B030-01</t>
    <phoneticPr fontId="2" type="noConversion"/>
  </si>
  <si>
    <t>UJS-B030-02</t>
  </si>
  <si>
    <t>UJS-B030-03</t>
  </si>
  <si>
    <t>UJS-B030-04</t>
  </si>
  <si>
    <t>UJS-B030-05</t>
  </si>
  <si>
    <t>UJS-B031-01</t>
    <phoneticPr fontId="2" type="noConversion"/>
  </si>
  <si>
    <t>UJS-B031-02</t>
  </si>
  <si>
    <t>UJS-B031-03</t>
  </si>
  <si>
    <t>UJS-B031-04</t>
  </si>
  <si>
    <t>UJS-B031-05</t>
  </si>
  <si>
    <t>UJS-B031-06</t>
  </si>
  <si>
    <t>UJS-A078-02</t>
    <phoneticPr fontId="2" type="noConversion"/>
  </si>
  <si>
    <t>UJS-A078-03</t>
  </si>
  <si>
    <t>UJS-A078-04</t>
  </si>
  <si>
    <t>UJS-A078-05</t>
  </si>
  <si>
    <t>UJS-A078-06</t>
  </si>
  <si>
    <t>2025-D-0001-334-1</t>
    <phoneticPr fontId="2" type="noConversion"/>
  </si>
  <si>
    <t>UJS-B029-01</t>
    <phoneticPr fontId="2" type="noConversion"/>
  </si>
  <si>
    <t>UJS-B029-02</t>
  </si>
  <si>
    <t>UJS-B029-03</t>
  </si>
  <si>
    <t>UJS-B029-04</t>
  </si>
  <si>
    <t>UJS-B029-04(QA/QC)</t>
    <phoneticPr fontId="2" type="noConversion"/>
  </si>
  <si>
    <t>UJS-B029-05</t>
    <phoneticPr fontId="2" type="noConversion"/>
  </si>
  <si>
    <t>UJS-B028-01</t>
    <phoneticPr fontId="2" type="noConversion"/>
  </si>
  <si>
    <t>UJS-B028-02</t>
  </si>
  <si>
    <t>UJS-B028-03</t>
  </si>
  <si>
    <t>UJS-B028-04</t>
  </si>
  <si>
    <t>UJS-B028-05</t>
  </si>
  <si>
    <t>UJS-B028-06</t>
  </si>
  <si>
    <t>UJS-B025-01</t>
    <phoneticPr fontId="2" type="noConversion"/>
  </si>
  <si>
    <t>UJS-B025-02</t>
  </si>
  <si>
    <t>UJS-B025-03</t>
  </si>
  <si>
    <t>UJS-B025-04</t>
  </si>
  <si>
    <t>UJS-B026-01</t>
    <phoneticPr fontId="2" type="noConversion"/>
  </si>
  <si>
    <t>UJS-B026-02</t>
  </si>
  <si>
    <t>UJS-B026-03</t>
  </si>
  <si>
    <t>UJS-B026-04</t>
  </si>
  <si>
    <t>UJS-B026-05</t>
  </si>
  <si>
    <t>UJS-B027-01</t>
    <phoneticPr fontId="2" type="noConversion"/>
  </si>
  <si>
    <t>UJS-B027-02</t>
  </si>
  <si>
    <t>UJS-B027-03</t>
  </si>
  <si>
    <t>UJS-B027-04</t>
  </si>
  <si>
    <t>UJS-B027-05</t>
  </si>
  <si>
    <t>UJS-B027-06</t>
  </si>
  <si>
    <t>UJS-B027-07</t>
  </si>
  <si>
    <t>UJS-B027-04(QA/QC)</t>
    <phoneticPr fontId="2" type="noConversion"/>
  </si>
  <si>
    <t>2025-D-0001-354-1</t>
    <phoneticPr fontId="2" type="noConversion"/>
  </si>
  <si>
    <t>UJS-B022-01</t>
    <phoneticPr fontId="2" type="noConversion"/>
  </si>
  <si>
    <t>UJS-B022-02</t>
  </si>
  <si>
    <t>UJS-B022-03</t>
  </si>
  <si>
    <t>UJS-B022-04</t>
  </si>
  <si>
    <t>UJS-B022-05</t>
  </si>
  <si>
    <t>UJS-B022-06</t>
  </si>
  <si>
    <t>UJS-B023-01</t>
    <phoneticPr fontId="2" type="noConversion"/>
  </si>
  <si>
    <t>UJS-B023-02</t>
  </si>
  <si>
    <t>UJS-B023-03</t>
  </si>
  <si>
    <t>UJS-B023-04</t>
  </si>
  <si>
    <t>UJS-B023-05</t>
  </si>
  <si>
    <t>UJS-B021-01</t>
    <phoneticPr fontId="2" type="noConversion"/>
  </si>
  <si>
    <t>UJS-B021-02</t>
  </si>
  <si>
    <t>UJS-B021-03</t>
  </si>
  <si>
    <t>UJS-B021-04</t>
  </si>
  <si>
    <t>UJS-B021-05</t>
  </si>
  <si>
    <t>UJS-B021-06</t>
  </si>
  <si>
    <t>2025-D-0001-372-1</t>
    <phoneticPr fontId="2" type="noConversion"/>
  </si>
  <si>
    <t>UJS-B021-04(QA/QC)</t>
    <phoneticPr fontId="2" type="noConversion"/>
  </si>
  <si>
    <t>UJS-B020-01</t>
    <phoneticPr fontId="2" type="noConversion"/>
  </si>
  <si>
    <t>UJS-B020-02</t>
  </si>
  <si>
    <t>UJS-B020-03</t>
  </si>
  <si>
    <t>UJS-B020-04</t>
  </si>
  <si>
    <t>UJS-B020-05</t>
  </si>
  <si>
    <t>UJS-B020-06</t>
  </si>
  <si>
    <t>UJS-B020-07</t>
  </si>
  <si>
    <t>2025-D-0001-381-1</t>
    <phoneticPr fontId="2" type="noConversion"/>
  </si>
  <si>
    <t>UJS-B020-07(QA/QC)</t>
    <phoneticPr fontId="2" type="noConversion"/>
  </si>
  <si>
    <t>UJS-B019-01</t>
    <phoneticPr fontId="2" type="noConversion"/>
  </si>
  <si>
    <t>UJS-B019-02</t>
  </si>
  <si>
    <t>UJS-B019-03</t>
  </si>
  <si>
    <t>UJS-B019-04</t>
  </si>
  <si>
    <t>UJS-B019-05</t>
  </si>
  <si>
    <t>UJS-B019-06</t>
  </si>
  <si>
    <t>UJS-B019-07</t>
  </si>
  <si>
    <t>UJS-B018-01</t>
    <phoneticPr fontId="2" type="noConversion"/>
  </si>
  <si>
    <t>UJS-B018-02</t>
  </si>
  <si>
    <t>UJS-B018-03</t>
  </si>
  <si>
    <t>UJS-B018-04</t>
  </si>
  <si>
    <t>UJS-B018-05</t>
  </si>
  <si>
    <t>UJS-B018-06</t>
  </si>
  <si>
    <t>UJS-B018-07</t>
  </si>
  <si>
    <t>UJS-B014-01</t>
    <phoneticPr fontId="2" type="noConversion"/>
  </si>
  <si>
    <t>UJS-B014-02</t>
  </si>
  <si>
    <t>UJS-B014-03</t>
  </si>
  <si>
    <t>UJS-B014-04</t>
  </si>
  <si>
    <t>UJS-B014-05</t>
  </si>
  <si>
    <t>UJS-B014-06</t>
  </si>
  <si>
    <t>UJS-B014-07</t>
  </si>
  <si>
    <t>2025-D-0001-401-1</t>
    <phoneticPr fontId="2" type="noConversion"/>
  </si>
  <si>
    <t>UJS-B014-06(QA/QC)</t>
    <phoneticPr fontId="2" type="noConversion"/>
  </si>
  <si>
    <t>UJS-B017-01</t>
    <phoneticPr fontId="2" type="noConversion"/>
  </si>
  <si>
    <t>UJS-B017-02</t>
  </si>
  <si>
    <t>UJS-B017-03</t>
  </si>
  <si>
    <t>UJS-B017-04</t>
  </si>
  <si>
    <t>UJS-B017-05</t>
  </si>
  <si>
    <t>UJS-B017-06</t>
  </si>
  <si>
    <t>UJS-B017-07</t>
  </si>
  <si>
    <t>UJS-B017-08</t>
  </si>
  <si>
    <t>UJS-B015-01</t>
    <phoneticPr fontId="2" type="noConversion"/>
  </si>
  <si>
    <t>UJS-B015-02</t>
  </si>
  <si>
    <t>UJS-B015-03</t>
  </si>
  <si>
    <t>UJS-B015-04</t>
  </si>
  <si>
    <t>UJS-B015-06</t>
  </si>
  <si>
    <t>UJS-B015-07</t>
  </si>
  <si>
    <t>UJS-B015-08</t>
  </si>
  <si>
    <t>UJS-B016-01</t>
    <phoneticPr fontId="2" type="noConversion"/>
  </si>
  <si>
    <t>UJS-B016-02</t>
  </si>
  <si>
    <t>UJS-B016-03</t>
  </si>
  <si>
    <t>UJS-B016-04</t>
  </si>
  <si>
    <t>UJS-B016-05</t>
  </si>
  <si>
    <t>UJS-B016-06</t>
  </si>
  <si>
    <t>UJS-B016-07</t>
  </si>
  <si>
    <t>UJS-B016-08</t>
  </si>
  <si>
    <t>2025-D-0001-421-1</t>
    <phoneticPr fontId="2" type="noConversion"/>
  </si>
  <si>
    <t>UJS-B016-03(QA/QC)</t>
    <phoneticPr fontId="2" type="noConversion"/>
  </si>
  <si>
    <t>UJS-B024-01</t>
    <phoneticPr fontId="2" type="noConversion"/>
  </si>
  <si>
    <t>UJS-B024-02</t>
  </si>
  <si>
    <t>UJS-B024-03</t>
  </si>
  <si>
    <t>UJS-B024-04</t>
  </si>
  <si>
    <t>UJS-B024-05</t>
  </si>
  <si>
    <t>UJS-B024-06</t>
  </si>
  <si>
    <t>UJS-B024-07</t>
  </si>
  <si>
    <t>UJS-B024-08</t>
  </si>
  <si>
    <t>UJS-A075-02</t>
    <phoneticPr fontId="2" type="noConversion"/>
  </si>
  <si>
    <t>UJS-A075-03</t>
  </si>
  <si>
    <t>UJS-A075-04</t>
  </si>
  <si>
    <t>UJS-A075-05</t>
  </si>
  <si>
    <t>UJS-A075-06</t>
  </si>
  <si>
    <t>UJS-A075-07</t>
  </si>
  <si>
    <t>UJS-A075-08</t>
  </si>
  <si>
    <t>2025-D-0001-438-1</t>
    <phoneticPr fontId="2" type="noConversion"/>
  </si>
  <si>
    <t>UJS-A075-05(QA/QC)</t>
    <phoneticPr fontId="2" type="noConversion"/>
  </si>
  <si>
    <t>UJS-B041-01</t>
    <phoneticPr fontId="2" type="noConversion"/>
  </si>
  <si>
    <t>UJS-B041-02</t>
  </si>
  <si>
    <t>UJS-B041-03</t>
  </si>
  <si>
    <t>UJS-B041-04</t>
  </si>
  <si>
    <t>UJS-B041-05</t>
  </si>
  <si>
    <t>UJS-B041-06</t>
  </si>
  <si>
    <t>UJS-B042-01</t>
    <phoneticPr fontId="2" type="noConversion"/>
  </si>
  <si>
    <t>UJS-B042-02</t>
  </si>
  <si>
    <t>UJS-B042-03</t>
  </si>
  <si>
    <t>2025-D-0001-449-1</t>
    <phoneticPr fontId="2" type="noConversion"/>
  </si>
  <si>
    <t>UJS-B042-02(QA/QC)</t>
    <phoneticPr fontId="2" type="noConversion"/>
  </si>
  <si>
    <t>- 라이너로 들어옴, 용적밀도 용 시료 채취 후 나머지 항목 사용, 남은 토양은 지퍼백에 보관.</t>
    <phoneticPr fontId="38" type="noConversion"/>
  </si>
  <si>
    <t>유기물함량</t>
    <phoneticPr fontId="38" type="noConversion"/>
  </si>
  <si>
    <t>유효인산</t>
    <phoneticPr fontId="38" type="noConversion"/>
  </si>
  <si>
    <t>질산성질소</t>
    <phoneticPr fontId="38" type="noConversion"/>
  </si>
  <si>
    <t>암모니아성질소</t>
    <phoneticPr fontId="38" type="noConversion"/>
  </si>
  <si>
    <t>입자밀도</t>
    <phoneticPr fontId="38" type="noConversion"/>
  </si>
  <si>
    <t>공극률</t>
    <phoneticPr fontId="38" type="noConversion"/>
  </si>
  <si>
    <t>입도</t>
    <phoneticPr fontId="38" type="noConversion"/>
  </si>
  <si>
    <t>토성</t>
    <phoneticPr fontId="38" type="noConversion"/>
  </si>
  <si>
    <t>유류분해균수</t>
    <phoneticPr fontId="38" type="noConversion"/>
  </si>
  <si>
    <t>%</t>
    <phoneticPr fontId="38" type="noConversion"/>
  </si>
  <si>
    <r>
      <t>g/cm</t>
    </r>
    <r>
      <rPr>
        <b/>
        <vertAlign val="superscript"/>
        <sz val="10"/>
        <color theme="1"/>
        <rFont val="맑은 고딕"/>
        <family val="3"/>
        <charset val="129"/>
        <scheme val="major"/>
      </rPr>
      <t>3</t>
    </r>
    <phoneticPr fontId="38" type="noConversion"/>
  </si>
  <si>
    <t>CFU/g dry soil</t>
    <phoneticPr fontId="38" type="noConversion"/>
  </si>
  <si>
    <t>2025-D-0001A-2</t>
  </si>
  <si>
    <t>2025-D-0001A-3</t>
  </si>
  <si>
    <t>UJ-03(UJS-B-004)</t>
    <phoneticPr fontId="2" type="noConversion"/>
  </si>
  <si>
    <t>UJ-02(UJS-B-014)</t>
    <phoneticPr fontId="2" type="noConversion"/>
  </si>
  <si>
    <t>UJ-01(UJS-B-032)</t>
    <phoneticPr fontId="2" type="noConversion"/>
  </si>
  <si>
    <t>ND</t>
    <phoneticPr fontId="2" type="noConversion"/>
  </si>
  <si>
    <t>ND</t>
    <phoneticPr fontId="2" type="noConversion"/>
  </si>
  <si>
    <t>ND</t>
    <phoneticPr fontId="2" type="noConversion"/>
  </si>
  <si>
    <t>붙임참조</t>
    <phoneticPr fontId="2" type="noConversion"/>
  </si>
  <si>
    <t>성적서에서 제외-12.30 정민샘 확인</t>
    <phoneticPr fontId="2" type="noConversion"/>
  </si>
  <si>
    <t>2025-D-0001A-1</t>
    <phoneticPr fontId="2" type="noConversion"/>
  </si>
  <si>
    <t>Sandy clay loam</t>
  </si>
  <si>
    <t>Clay loam</t>
  </si>
  <si>
    <t>ND</t>
    <phoneticPr fontId="2" type="noConversion"/>
  </si>
  <si>
    <r>
      <t>1.67x10</t>
    </r>
    <r>
      <rPr>
        <b/>
        <vertAlign val="superscript"/>
        <sz val="11"/>
        <color theme="1"/>
        <rFont val="맑은 고딕"/>
        <family val="3"/>
        <charset val="129"/>
        <scheme val="major"/>
      </rPr>
      <t>6</t>
    </r>
    <phoneticPr fontId="2" type="noConversion"/>
  </si>
  <si>
    <t>- 수질공정시험기준에 따라 분석 ★분석기한 준수★</t>
    <phoneticPr fontId="38" type="noConversion"/>
  </si>
  <si>
    <t>- 채수병, 유리병, 바이알 중 항목에 맞는 시료로 분석</t>
    <phoneticPr fontId="38" type="noConversion"/>
  </si>
  <si>
    <t>지하수생활용수기준</t>
    <phoneticPr fontId="38" type="noConversion"/>
  </si>
  <si>
    <t>TPH</t>
    <phoneticPr fontId="2" type="noConversion"/>
  </si>
  <si>
    <t>pH</t>
    <phoneticPr fontId="2" type="noConversion"/>
  </si>
  <si>
    <t>총대장균군</t>
    <phoneticPr fontId="2" type="noConversion"/>
  </si>
  <si>
    <r>
      <t>NO</t>
    </r>
    <r>
      <rPr>
        <b/>
        <vertAlign val="subscript"/>
        <sz val="10"/>
        <color theme="1"/>
        <rFont val="맑은 고딕"/>
        <family val="3"/>
        <charset val="129"/>
        <scheme val="major"/>
      </rPr>
      <t>3</t>
    </r>
    <r>
      <rPr>
        <b/>
        <vertAlign val="superscript"/>
        <sz val="10"/>
        <color theme="1"/>
        <rFont val="맑은 고딕"/>
        <family val="3"/>
        <charset val="129"/>
        <scheme val="major"/>
      </rPr>
      <t>-</t>
    </r>
    <r>
      <rPr>
        <b/>
        <sz val="10"/>
        <color theme="1"/>
        <rFont val="맑은 고딕"/>
        <family val="3"/>
        <charset val="129"/>
        <scheme val="major"/>
      </rPr>
      <t>-N</t>
    </r>
    <phoneticPr fontId="2" type="noConversion"/>
  </si>
  <si>
    <r>
      <t>Cl</t>
    </r>
    <r>
      <rPr>
        <b/>
        <vertAlign val="superscript"/>
        <sz val="10"/>
        <color theme="1"/>
        <rFont val="맑은 고딕"/>
        <family val="3"/>
        <charset val="129"/>
        <scheme val="major"/>
      </rPr>
      <t>-</t>
    </r>
    <phoneticPr fontId="2" type="noConversion"/>
  </si>
  <si>
    <t>Cd</t>
  </si>
  <si>
    <t>As</t>
  </si>
  <si>
    <t>Hg</t>
  </si>
  <si>
    <t>Pb</t>
  </si>
  <si>
    <t>Cr</t>
    <phoneticPr fontId="2" type="noConversion"/>
  </si>
  <si>
    <t>다이아지논</t>
    <phoneticPr fontId="2" type="noConversion"/>
  </si>
  <si>
    <t>파라티온</t>
    <phoneticPr fontId="2" type="noConversion"/>
  </si>
  <si>
    <t>1,1,1-TCA</t>
    <phoneticPr fontId="2" type="noConversion"/>
  </si>
  <si>
    <t>Benzene</t>
  </si>
  <si>
    <t>Toluene</t>
  </si>
  <si>
    <t>Ethylbenzene</t>
  </si>
  <si>
    <t>Xylene</t>
  </si>
  <si>
    <t>5.8~8.5</t>
    <phoneticPr fontId="2" type="noConversion"/>
  </si>
  <si>
    <t>5,000이하(군수/100ml)</t>
    <phoneticPr fontId="2" type="noConversion"/>
  </si>
  <si>
    <t>mg/L</t>
    <phoneticPr fontId="2" type="noConversion"/>
  </si>
  <si>
    <t>총대장균군수/100mL</t>
    <phoneticPr fontId="2" type="noConversion"/>
  </si>
  <si>
    <t>2025-D-0001B-1</t>
    <phoneticPr fontId="2" type="noConversion"/>
  </si>
  <si>
    <t>2025-D-0001B-2</t>
  </si>
  <si>
    <t>2025-D-0001B-3</t>
  </si>
  <si>
    <t>UJGW-01</t>
    <phoneticPr fontId="2" type="noConversion"/>
  </si>
  <si>
    <t>UJGW-02</t>
  </si>
  <si>
    <t>UJGW-03</t>
  </si>
  <si>
    <t>2025-D-0001B-1-1</t>
    <phoneticPr fontId="2" type="noConversion"/>
  </si>
  <si>
    <t>UJGW-01(QA/QC)</t>
    <phoneticPr fontId="2" type="noConversion"/>
  </si>
  <si>
    <t>2025-D-0001B-3-1</t>
    <phoneticPr fontId="2" type="noConversion"/>
  </si>
  <si>
    <t>2025-D-0001B-3-2</t>
  </si>
  <si>
    <t>EB20260113</t>
    <phoneticPr fontId="2" type="noConversion"/>
  </si>
  <si>
    <t>FB20260113</t>
    <phoneticPr fontId="2" type="noConversion"/>
  </si>
  <si>
    <t>ND</t>
    <phoneticPr fontId="2" type="noConversion"/>
  </si>
  <si>
    <t>1/14 재채취함-데이터 비교 후 성적서에 둘중 하나 골라서 들어갈 예정</t>
    <phoneticPr fontId="2" type="noConversion"/>
  </si>
  <si>
    <t>2025-D-0001-451</t>
    <phoneticPr fontId="2" type="noConversion"/>
  </si>
  <si>
    <t>UJS-B050-01</t>
    <phoneticPr fontId="2" type="noConversion"/>
  </si>
  <si>
    <t>2025-D-0001-452</t>
  </si>
  <si>
    <t>UJS-B050-02</t>
  </si>
  <si>
    <t>2025-D-0001-453</t>
  </si>
  <si>
    <t>UJS-B050-03</t>
  </si>
  <si>
    <t>2025-D-0001-454</t>
  </si>
  <si>
    <t>UJS-B050-04</t>
  </si>
  <si>
    <t>2025-D-0001-455</t>
  </si>
  <si>
    <t>2025-D-0001-456</t>
  </si>
  <si>
    <t>2025-D-0001-457</t>
  </si>
  <si>
    <t>2025-D-0001-458</t>
  </si>
  <si>
    <t>2025-D-0001-459</t>
  </si>
  <si>
    <t>2025-D-0001-460</t>
  </si>
  <si>
    <t>2025-D-0001-461</t>
  </si>
  <si>
    <t>2025-D-0001-462</t>
  </si>
  <si>
    <t>2025-D-0001-463</t>
  </si>
  <si>
    <t>2025-D-0001-464</t>
  </si>
  <si>
    <t>2025-D-0001-465</t>
  </si>
  <si>
    <t>2025-D-0001-466</t>
  </si>
  <si>
    <t>2025-D-0001-467</t>
  </si>
  <si>
    <t>2025-D-0001-468</t>
  </si>
  <si>
    <t>2025-D-0001-469</t>
  </si>
  <si>
    <t>2025-D-0001-470</t>
  </si>
  <si>
    <t>2025-D-0001-471</t>
  </si>
  <si>
    <t>2025-D-0001-472</t>
  </si>
  <si>
    <t>2025-D-0001-473</t>
  </si>
  <si>
    <t>2025-D-0001-474</t>
  </si>
  <si>
    <t>2025-D-0001-475</t>
  </si>
  <si>
    <t>2025-D-0001-476</t>
  </si>
  <si>
    <t>2025-D-0001-477</t>
  </si>
  <si>
    <t>2025-D-0001-478</t>
  </si>
  <si>
    <t>2025-D-0001-479</t>
  </si>
  <si>
    <t>2025-D-0001-480</t>
  </si>
  <si>
    <t>2025-D-0001-481</t>
  </si>
  <si>
    <t>2025-D-0001-482</t>
  </si>
  <si>
    <t>2025-D-0001-483</t>
  </si>
  <si>
    <t>2025-D-0001-484</t>
  </si>
  <si>
    <t>2025-D-0001-485</t>
  </si>
  <si>
    <t>2025-D-0001-486</t>
  </si>
  <si>
    <t>2025-D-0001-487</t>
  </si>
  <si>
    <t>2025-D-0001-488</t>
  </si>
  <si>
    <t>2025-D-0001-489</t>
  </si>
  <si>
    <t>2025-D-0001-490</t>
  </si>
  <si>
    <t>2025-D-0001-491</t>
  </si>
  <si>
    <t>2025-D-0001-492</t>
  </si>
  <si>
    <t>2025-D-0001-493</t>
  </si>
  <si>
    <t>UJS-B049-01</t>
    <phoneticPr fontId="2" type="noConversion"/>
  </si>
  <si>
    <t>UJS-B049-02</t>
  </si>
  <si>
    <t>UJS-B049-03</t>
  </si>
  <si>
    <t>UJS-B049-04</t>
  </si>
  <si>
    <t>UJS-B047-01</t>
    <phoneticPr fontId="2" type="noConversion"/>
  </si>
  <si>
    <t>UJS-B047-02</t>
  </si>
  <si>
    <t>UJS-B047-03</t>
  </si>
  <si>
    <t>UJS-B047-04</t>
  </si>
  <si>
    <t>2025-D-0001-462-1</t>
    <phoneticPr fontId="2" type="noConversion"/>
  </si>
  <si>
    <t>UJS-B047-04(QA/QC)</t>
    <phoneticPr fontId="2" type="noConversion"/>
  </si>
  <si>
    <t>UJS-B048-01</t>
    <phoneticPr fontId="2" type="noConversion"/>
  </si>
  <si>
    <t>UJS-B048-02</t>
  </si>
  <si>
    <t>UJS-B048-03</t>
  </si>
  <si>
    <t>UJS-B048-04</t>
  </si>
  <si>
    <t>2025-D-0001-466-1</t>
    <phoneticPr fontId="2" type="noConversion"/>
  </si>
  <si>
    <t>2025-D-0001-466-2</t>
  </si>
  <si>
    <t>UJS-B052-01</t>
    <phoneticPr fontId="2" type="noConversion"/>
  </si>
  <si>
    <t>UJS-B052-02</t>
  </si>
  <si>
    <t>UJS-B052-03</t>
  </si>
  <si>
    <t>UJS-B052-04</t>
  </si>
  <si>
    <t>UJS-B052-05</t>
  </si>
  <si>
    <t>UJS-B052-06</t>
  </si>
  <si>
    <t>UJS-B044-01</t>
    <phoneticPr fontId="2" type="noConversion"/>
  </si>
  <si>
    <t>UJS-B044-02</t>
  </si>
  <si>
    <t>UJS-B044-03</t>
  </si>
  <si>
    <t>UJS-B044-04</t>
  </si>
  <si>
    <t>UJS-B046-01</t>
    <phoneticPr fontId="2" type="noConversion"/>
  </si>
  <si>
    <t>UJS-B046-02</t>
  </si>
  <si>
    <t>UJS-B046-03</t>
  </si>
  <si>
    <t>UJS-B046-04</t>
  </si>
  <si>
    <t>2025-D-0001-480-1</t>
    <phoneticPr fontId="2" type="noConversion"/>
  </si>
  <si>
    <t>UJS-B046-04(QA/QC)</t>
    <phoneticPr fontId="2" type="noConversion"/>
  </si>
  <si>
    <t>UJS-B043-01</t>
    <phoneticPr fontId="2" type="noConversion"/>
  </si>
  <si>
    <t>UJS-B043-02</t>
  </si>
  <si>
    <t>UJS-B043-03</t>
  </si>
  <si>
    <t>UJS-B043-04</t>
  </si>
  <si>
    <t>UJS-B045-01</t>
    <phoneticPr fontId="2" type="noConversion"/>
  </si>
  <si>
    <t>UJS-B045-02</t>
  </si>
  <si>
    <t>UJS-B045-03</t>
  </si>
  <si>
    <t>UJS-B045-04</t>
  </si>
  <si>
    <t>UJS-B051-01</t>
    <phoneticPr fontId="2" type="noConversion"/>
  </si>
  <si>
    <t>UJS-B051-02</t>
  </si>
  <si>
    <t>UJS-B051-03</t>
  </si>
  <si>
    <t>UJS-B015-05</t>
    <phoneticPr fontId="2" type="noConversion"/>
  </si>
  <si>
    <t>2025-D-0001-415</t>
    <phoneticPr fontId="2" type="noConversion"/>
  </si>
  <si>
    <t>2025-D-0001-415 재채취시료</t>
    <phoneticPr fontId="2" type="noConversion"/>
  </si>
  <si>
    <t>2025-D-0001-493-1</t>
    <phoneticPr fontId="2" type="noConversion"/>
  </si>
  <si>
    <t>UJS-B051-04(QA/QC)</t>
    <phoneticPr fontId="2" type="noConversion"/>
  </si>
  <si>
    <t>2025-D-0001-493-2</t>
  </si>
  <si>
    <t>2025-D-0001-493-3</t>
  </si>
  <si>
    <t>FB20260114</t>
    <phoneticPr fontId="2" type="noConversion"/>
  </si>
  <si>
    <t>EB20260114</t>
    <phoneticPr fontId="2" type="noConversion"/>
  </si>
  <si>
    <t>TB20260114</t>
    <phoneticPr fontId="2" type="noConversion"/>
  </si>
  <si>
    <t>2025-D-0001-494</t>
    <phoneticPr fontId="2" type="noConversion"/>
  </si>
  <si>
    <t>UJS-B043-05</t>
    <phoneticPr fontId="2" type="noConversion"/>
  </si>
  <si>
    <t>2025-D-0001-495</t>
  </si>
  <si>
    <t>2025-D-0001-496</t>
  </si>
  <si>
    <t>2025-D-0001-497</t>
  </si>
  <si>
    <t>2025-D-0001-498</t>
  </si>
  <si>
    <t>2025-D-0001-499</t>
  </si>
  <si>
    <t>2025-D-0001-500</t>
  </si>
  <si>
    <t>2025-D-0001-501</t>
  </si>
  <si>
    <t>2025-D-0001-502</t>
  </si>
  <si>
    <t>2025-D-0001-503</t>
  </si>
  <si>
    <t>2025-D-0001-504</t>
  </si>
  <si>
    <t>2025-D-0001-505</t>
  </si>
  <si>
    <t>2025-D-0001-506</t>
  </si>
  <si>
    <t>2025-D-0001-507</t>
  </si>
  <si>
    <t>2025-D-0001-508</t>
  </si>
  <si>
    <t>2025-D-0001-509</t>
  </si>
  <si>
    <t>2025-D-0001-510</t>
  </si>
  <si>
    <t>2025-D-0001-511</t>
  </si>
  <si>
    <t>2025-D-0001-512</t>
  </si>
  <si>
    <t>2025-D-0001-513</t>
  </si>
  <si>
    <t>2025-D-0001-514</t>
  </si>
  <si>
    <t>2025-D-0001-515</t>
  </si>
  <si>
    <t>2025-D-0001-516</t>
  </si>
  <si>
    <t>2025-D-0001-517</t>
  </si>
  <si>
    <t>2025-D-0001-518</t>
  </si>
  <si>
    <t>2025-D-0001-519</t>
  </si>
  <si>
    <t>2025-D-0001-520</t>
  </si>
  <si>
    <t>2025-D-0001-521</t>
  </si>
  <si>
    <t>UJS-B044-05</t>
    <phoneticPr fontId="2" type="noConversion"/>
  </si>
  <si>
    <t>UJS-B048-05</t>
    <phoneticPr fontId="2" type="noConversion"/>
  </si>
  <si>
    <t>UJS-B053-01</t>
    <phoneticPr fontId="2" type="noConversion"/>
  </si>
  <si>
    <t>UJS-B053-02</t>
  </si>
  <si>
    <t>UJS-B053-03</t>
  </si>
  <si>
    <t>UJS-B053-04</t>
  </si>
  <si>
    <t>UJS-B054-01</t>
    <phoneticPr fontId="2" type="noConversion"/>
  </si>
  <si>
    <t>UJS-B054-02</t>
  </si>
  <si>
    <t>UJS-B054-03</t>
  </si>
  <si>
    <t>UJS-B054-04</t>
  </si>
  <si>
    <t>2025-D-0001-504-1</t>
    <phoneticPr fontId="2" type="noConversion"/>
  </si>
  <si>
    <t>UJS-B054-04(QA/QC)</t>
    <phoneticPr fontId="2" type="noConversion"/>
  </si>
  <si>
    <t>UJS-B055-01</t>
    <phoneticPr fontId="2" type="noConversion"/>
  </si>
  <si>
    <t>UJS-B055-02</t>
  </si>
  <si>
    <t>UJS-B055-03</t>
  </si>
  <si>
    <t>UJS-B055-04</t>
  </si>
  <si>
    <t>UJS-B055-05</t>
  </si>
  <si>
    <t>UJS-B055-06</t>
  </si>
  <si>
    <t>UJS-B058-01</t>
    <phoneticPr fontId="2" type="noConversion"/>
  </si>
  <si>
    <t>UJS-B058-02</t>
  </si>
  <si>
    <t>UJS-B056-01</t>
    <phoneticPr fontId="2" type="noConversion"/>
  </si>
  <si>
    <t>UJS-B056-02</t>
  </si>
  <si>
    <t>UJS-B056-03</t>
  </si>
  <si>
    <t>UJS-B056-04</t>
  </si>
  <si>
    <t>2025-D-0001-516-1</t>
    <phoneticPr fontId="2" type="noConversion"/>
  </si>
  <si>
    <t>UJS-B056-04(QA/QC)</t>
    <phoneticPr fontId="2" type="noConversion"/>
  </si>
  <si>
    <t>UJS-B057-01</t>
    <phoneticPr fontId="2" type="noConversion"/>
  </si>
  <si>
    <t>UJS-B057-02</t>
  </si>
  <si>
    <t>UJS-B057-03</t>
  </si>
  <si>
    <t>UJS-B057-04</t>
  </si>
  <si>
    <t>UJS-B057-05</t>
  </si>
  <si>
    <t>2025-D-0001-521-1</t>
    <phoneticPr fontId="2" type="noConversion"/>
  </si>
  <si>
    <t>2025-D-0001-521-2</t>
  </si>
  <si>
    <t>EB20260203</t>
    <phoneticPr fontId="2" type="noConversion"/>
  </si>
  <si>
    <t>FB20260203</t>
    <phoneticPr fontId="2" type="noConversion"/>
  </si>
  <si>
    <t>UJS-B015-05</t>
    <phoneticPr fontId="2" type="noConversion"/>
  </si>
  <si>
    <t>성적서에서 결과제외-26.1.14일자 채취분 결과로 대체함(26.2.13 정민샘 확인)</t>
    <phoneticPr fontId="2" type="noConversion"/>
  </si>
  <si>
    <t>UJS-A025-04</t>
    <phoneticPr fontId="2" type="noConversion"/>
  </si>
  <si>
    <t>UJS-B051-04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</si>
</sst>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_ ;_ * \-#,##0_ ;_ * &quot;-&quot;_ ;_ @_ "/>
    <numFmt numFmtId="177" formatCode="0.0_);[Red]\(0.0\)"/>
    <numFmt numFmtId="178" formatCode="0.0"/>
    <numFmt numFmtId="179" formatCode="0.0;[Red]0.0"/>
  </numFmts>
  <fonts count="6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name val="Arial"/>
      <family val="2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theme="0" tint="-0.499984740745262"/>
      <name val="맑은 고딕"/>
      <family val="3"/>
      <charset val="129"/>
      <scheme val="major"/>
    </font>
    <font>
      <b/>
      <sz val="12"/>
      <color theme="1"/>
      <name val="HY견고딕"/>
      <family val="1"/>
      <charset val="129"/>
    </font>
    <font>
      <sz val="8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1" tint="0.499984740745262"/>
      <name val="맑은 고딕"/>
      <family val="3"/>
      <charset val="129"/>
      <scheme val="major"/>
    </font>
    <font>
      <b/>
      <sz val="8"/>
      <color theme="1" tint="0.499984740745262"/>
      <name val="맑은 고딕"/>
      <family val="3"/>
      <charset val="129"/>
      <scheme val="major"/>
    </font>
    <font>
      <b/>
      <i/>
      <u/>
      <sz val="11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0" tint="-0.499984740745262"/>
      <name val="맑은 고딕"/>
      <family val="3"/>
      <charset val="129"/>
      <scheme val="major"/>
    </font>
    <font>
      <b/>
      <i/>
      <u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vertAlign val="superscript"/>
      <sz val="10"/>
      <color theme="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24"/>
      <color rgb="FFFF000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b/>
      <sz val="10"/>
      <color rgb="FFFF0000"/>
      <name val="맑은 고딕"/>
      <family val="3"/>
      <charset val="129"/>
      <scheme val="major"/>
    </font>
    <font>
      <b/>
      <vertAlign val="superscript"/>
      <sz val="11"/>
      <color theme="1"/>
      <name val="맑은 고딕"/>
      <family val="3"/>
      <charset val="129"/>
      <scheme val="major"/>
    </font>
    <font>
      <b/>
      <vertAlign val="subscript"/>
      <sz val="10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sz val="10"/>
      <name val="맑은 고딕"/>
      <family val="3"/>
      <charset val="129"/>
      <scheme val="maj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20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 diagonalDown="1">
      <left/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</borders>
  <cellStyleXfs count="181">
    <xf numFmtId="0" fontId="0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5" borderId="6" applyNumberFormat="0" applyAlignment="0" applyProtection="0">
      <alignment vertical="center"/>
    </xf>
    <xf numFmtId="0" fontId="10" fillId="46" borderId="6" applyNumberFormat="0" applyAlignment="0" applyProtection="0">
      <alignment vertical="center"/>
    </xf>
    <xf numFmtId="0" fontId="10" fillId="46" borderId="6" applyNumberFormat="0" applyAlignment="0" applyProtection="0">
      <alignment vertical="center"/>
    </xf>
    <xf numFmtId="0" fontId="11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47" borderId="7" applyNumberFormat="0" applyFont="0" applyAlignment="0" applyProtection="0">
      <alignment vertical="center"/>
    </xf>
    <xf numFmtId="0" fontId="4" fillId="48" borderId="7" applyNumberFormat="0" applyFont="0" applyAlignment="0" applyProtection="0">
      <alignment vertical="center"/>
    </xf>
    <xf numFmtId="0" fontId="4" fillId="48" borderId="7" applyNumberFormat="0" applyFont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1" borderId="8" applyNumberFormat="0" applyAlignment="0" applyProtection="0">
      <alignment vertical="center"/>
    </xf>
    <xf numFmtId="0" fontId="16" fillId="52" borderId="8" applyNumberFormat="0" applyAlignment="0" applyProtection="0">
      <alignment vertical="center"/>
    </xf>
    <xf numFmtId="0" fontId="16" fillId="52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45" borderId="14" applyNumberFormat="0" applyAlignment="0" applyProtection="0">
      <alignment vertical="center"/>
    </xf>
    <xf numFmtId="0" fontId="28" fillId="46" borderId="14" applyNumberFormat="0" applyAlignment="0" applyProtection="0">
      <alignment vertical="center"/>
    </xf>
    <xf numFmtId="0" fontId="28" fillId="46" borderId="14" applyNumberFormat="0" applyAlignment="0" applyProtection="0">
      <alignment vertical="center"/>
    </xf>
    <xf numFmtId="0" fontId="29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30" fillId="0" borderId="15"/>
    <xf numFmtId="0" fontId="29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" fillId="0" borderId="0">
      <alignment vertical="center"/>
    </xf>
    <xf numFmtId="0" fontId="6" fillId="0" borderId="0">
      <alignment vertical="center"/>
    </xf>
  </cellStyleXfs>
  <cellXfs count="103">
    <xf numFmtId="0" fontId="0" fillId="0" borderId="0" xfId="0">
      <alignment vertical="center"/>
    </xf>
    <xf numFmtId="0" fontId="35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9" fillId="8" borderId="0" xfId="0" applyFont="1" applyFill="1" applyAlignment="1">
      <alignment horizontal="center" vertical="center"/>
    </xf>
    <xf numFmtId="177" fontId="40" fillId="8" borderId="0" xfId="0" applyNumberFormat="1" applyFont="1" applyFill="1" applyAlignment="1">
      <alignment horizontal="center" vertical="center"/>
    </xf>
    <xf numFmtId="177" fontId="41" fillId="8" borderId="0" xfId="0" applyNumberFormat="1" applyFont="1" applyFill="1" applyBorder="1" applyAlignment="1">
      <alignment horizontal="center" vertical="center"/>
    </xf>
    <xf numFmtId="0" fontId="46" fillId="8" borderId="0" xfId="0" applyFont="1" applyFill="1" applyAlignment="1">
      <alignment horizontal="center" vertical="center"/>
    </xf>
    <xf numFmtId="177" fontId="33" fillId="8" borderId="0" xfId="0" applyNumberFormat="1" applyFont="1" applyFill="1" applyBorder="1" applyAlignment="1">
      <alignment horizontal="center" vertical="center"/>
    </xf>
    <xf numFmtId="41" fontId="43" fillId="8" borderId="0" xfId="6" applyFont="1" applyFill="1" applyBorder="1" applyAlignment="1">
      <alignment horizontal="center" vertical="center"/>
    </xf>
    <xf numFmtId="0" fontId="33" fillId="53" borderId="4" xfId="0" applyFont="1" applyFill="1" applyBorder="1" applyAlignment="1">
      <alignment horizontal="center" vertical="center"/>
    </xf>
    <xf numFmtId="0" fontId="33" fillId="54" borderId="4" xfId="0" applyFont="1" applyFill="1" applyBorder="1" applyAlignment="1">
      <alignment horizontal="center" vertical="center"/>
    </xf>
    <xf numFmtId="0" fontId="36" fillId="8" borderId="0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1" fontId="43" fillId="7" borderId="0" xfId="6" applyFont="1" applyFill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9" fillId="8" borderId="0" xfId="0" applyFont="1" applyFill="1" applyBorder="1" applyAlignment="1">
      <alignment horizontal="center" vertical="center"/>
    </xf>
    <xf numFmtId="0" fontId="44" fillId="8" borderId="0" xfId="0" applyFont="1" applyFill="1" applyBorder="1" applyAlignment="1">
      <alignment horizontal="center" vertical="center"/>
    </xf>
    <xf numFmtId="0" fontId="47" fillId="8" borderId="0" xfId="0" applyFont="1" applyFill="1" applyBorder="1" applyAlignment="1">
      <alignment horizontal="center" vertical="center"/>
    </xf>
    <xf numFmtId="49" fontId="48" fillId="8" borderId="0" xfId="0" applyNumberFormat="1" applyFont="1" applyFill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32" fillId="8" borderId="0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2" fillId="6" borderId="0" xfId="0" applyFont="1" applyFill="1" applyAlignment="1">
      <alignment horizontal="center"/>
    </xf>
    <xf numFmtId="0" fontId="32" fillId="0" borderId="0" xfId="0" applyFont="1" applyFill="1" applyAlignment="1">
      <alignment horizontal="left" vertical="center"/>
    </xf>
    <xf numFmtId="14" fontId="32" fillId="0" borderId="0" xfId="0" applyNumberFormat="1" applyFont="1" applyFill="1" applyAlignment="1">
      <alignment horizontal="center" vertical="center"/>
    </xf>
    <xf numFmtId="0" fontId="40" fillId="0" borderId="5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41" fillId="55" borderId="5" xfId="0" applyFont="1" applyFill="1" applyBorder="1" applyAlignment="1">
      <alignment horizontal="center" vertical="center" wrapText="1"/>
    </xf>
    <xf numFmtId="0" fontId="34" fillId="8" borderId="0" xfId="0" applyFont="1" applyFill="1" applyAlignment="1">
      <alignment horizontal="left" vertical="center"/>
    </xf>
    <xf numFmtId="0" fontId="52" fillId="8" borderId="0" xfId="0" applyFont="1" applyFill="1" applyAlignment="1">
      <alignment horizontal="left" vertical="center"/>
    </xf>
    <xf numFmtId="177" fontId="33" fillId="8" borderId="0" xfId="0" applyNumberFormat="1" applyFont="1" applyFill="1" applyBorder="1" applyAlignment="1">
      <alignment horizontal="left" vertical="center"/>
    </xf>
    <xf numFmtId="0" fontId="35" fillId="0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9" fontId="37" fillId="8" borderId="0" xfId="0" applyNumberFormat="1" applyFont="1" applyFill="1" applyAlignment="1">
      <alignment horizontal="left" vertical="center"/>
    </xf>
    <xf numFmtId="49" fontId="45" fillId="8" borderId="0" xfId="0" applyNumberFormat="1" applyFont="1" applyFill="1" applyAlignment="1">
      <alignment horizontal="left" vertical="center"/>
    </xf>
    <xf numFmtId="0" fontId="42" fillId="0" borderId="0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left" vertical="center"/>
    </xf>
    <xf numFmtId="0" fontId="53" fillId="7" borderId="0" xfId="0" applyFont="1" applyFill="1" applyAlignment="1">
      <alignment horizontal="left" vertical="center"/>
    </xf>
    <xf numFmtId="178" fontId="33" fillId="54" borderId="4" xfId="0" applyNumberFormat="1" applyFont="1" applyFill="1" applyBorder="1" applyAlignment="1">
      <alignment horizontal="center" vertical="center"/>
    </xf>
    <xf numFmtId="0" fontId="50" fillId="8" borderId="0" xfId="0" applyFont="1" applyFill="1" applyAlignment="1">
      <alignment horizontal="left" vertical="center"/>
    </xf>
    <xf numFmtId="0" fontId="55" fillId="55" borderId="0" xfId="0" applyFont="1" applyFill="1" applyAlignment="1">
      <alignment horizontal="left" vertical="center"/>
    </xf>
    <xf numFmtId="177" fontId="40" fillId="55" borderId="0" xfId="0" applyNumberFormat="1" applyFont="1" applyFill="1" applyAlignment="1">
      <alignment horizontal="center" vertical="center"/>
    </xf>
    <xf numFmtId="177" fontId="33" fillId="55" borderId="0" xfId="0" applyNumberFormat="1" applyFont="1" applyFill="1" applyBorder="1" applyAlignment="1">
      <alignment horizontal="center" vertical="center"/>
    </xf>
    <xf numFmtId="0" fontId="39" fillId="55" borderId="0" xfId="0" applyFont="1" applyFill="1" applyBorder="1" applyAlignment="1">
      <alignment horizontal="center" vertical="center"/>
    </xf>
    <xf numFmtId="0" fontId="34" fillId="55" borderId="0" xfId="0" applyFont="1" applyFill="1" applyBorder="1" applyAlignment="1">
      <alignment horizontal="center" vertical="center"/>
    </xf>
    <xf numFmtId="0" fontId="34" fillId="55" borderId="0" xfId="0" applyFont="1" applyFill="1" applyAlignment="1">
      <alignment horizontal="center" vertical="center"/>
    </xf>
    <xf numFmtId="0" fontId="44" fillId="55" borderId="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33" fillId="53" borderId="5" xfId="0" applyFont="1" applyFill="1" applyBorder="1" applyAlignment="1">
      <alignment horizontal="center" vertical="center"/>
    </xf>
    <xf numFmtId="177" fontId="33" fillId="54" borderId="5" xfId="0" applyNumberFormat="1" applyFont="1" applyFill="1" applyBorder="1" applyAlignment="1">
      <alignment horizontal="center" vertical="center"/>
    </xf>
    <xf numFmtId="178" fontId="33" fillId="54" borderId="5" xfId="0" applyNumberFormat="1" applyFont="1" applyFill="1" applyBorder="1" applyAlignment="1">
      <alignment horizontal="center" vertical="center"/>
    </xf>
    <xf numFmtId="0" fontId="49" fillId="56" borderId="5" xfId="0" applyFont="1" applyFill="1" applyBorder="1" applyAlignment="1">
      <alignment horizontal="center" vertical="center" wrapText="1"/>
    </xf>
    <xf numFmtId="0" fontId="49" fillId="0" borderId="5" xfId="0" applyFont="1" applyFill="1" applyBorder="1" applyAlignment="1">
      <alignment horizontal="center" vertical="center" wrapText="1"/>
    </xf>
    <xf numFmtId="0" fontId="34" fillId="0" borderId="4" xfId="0" applyNumberFormat="1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14" fontId="34" fillId="0" borderId="4" xfId="0" applyNumberFormat="1" applyFont="1" applyFill="1" applyBorder="1" applyAlignment="1">
      <alignment horizontal="center" vertical="center"/>
    </xf>
    <xf numFmtId="0" fontId="34" fillId="57" borderId="16" xfId="0" applyNumberFormat="1" applyFont="1" applyFill="1" applyBorder="1" applyAlignment="1">
      <alignment horizontal="center" vertical="center"/>
    </xf>
    <xf numFmtId="178" fontId="34" fillId="0" borderId="4" xfId="0" applyNumberFormat="1" applyFont="1" applyFill="1" applyBorder="1" applyAlignment="1">
      <alignment horizontal="center" vertical="center"/>
    </xf>
    <xf numFmtId="2" fontId="34" fillId="0" borderId="4" xfId="0" applyNumberFormat="1" applyFont="1" applyFill="1" applyBorder="1" applyAlignment="1">
      <alignment horizontal="center" vertical="center"/>
    </xf>
    <xf numFmtId="2" fontId="34" fillId="57" borderId="16" xfId="0" applyNumberFormat="1" applyFont="1" applyFill="1" applyBorder="1" applyAlignment="1">
      <alignment horizontal="center" vertical="center"/>
    </xf>
    <xf numFmtId="178" fontId="34" fillId="57" borderId="16" xfId="0" applyNumberFormat="1" applyFont="1" applyFill="1" applyBorder="1" applyAlignment="1">
      <alignment horizontal="center" vertical="center"/>
    </xf>
    <xf numFmtId="49" fontId="33" fillId="53" borderId="4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8" fontId="49" fillId="0" borderId="4" xfId="0" applyNumberFormat="1" applyFont="1" applyFill="1" applyBorder="1" applyAlignment="1">
      <alignment horizontal="center" vertical="center"/>
    </xf>
    <xf numFmtId="0" fontId="34" fillId="55" borderId="4" xfId="0" applyNumberFormat="1" applyFont="1" applyFill="1" applyBorder="1" applyAlignment="1">
      <alignment horizontal="center" vertical="center"/>
    </xf>
    <xf numFmtId="0" fontId="34" fillId="0" borderId="17" xfId="0" applyNumberFormat="1" applyFont="1" applyFill="1" applyBorder="1" applyAlignment="1">
      <alignment horizontal="center" vertical="center"/>
    </xf>
    <xf numFmtId="0" fontId="34" fillId="0" borderId="17" xfId="0" applyFont="1" applyFill="1" applyBorder="1" applyAlignment="1">
      <alignment horizontal="center" vertical="center"/>
    </xf>
    <xf numFmtId="0" fontId="34" fillId="57" borderId="18" xfId="0" applyNumberFormat="1" applyFont="1" applyFill="1" applyBorder="1" applyAlignment="1">
      <alignment horizontal="center" vertical="center"/>
    </xf>
    <xf numFmtId="178" fontId="34" fillId="57" borderId="18" xfId="0" applyNumberFormat="1" applyFont="1" applyFill="1" applyBorder="1" applyAlignment="1">
      <alignment horizontal="center" vertical="center"/>
    </xf>
    <xf numFmtId="2" fontId="34" fillId="57" borderId="18" xfId="0" applyNumberFormat="1" applyFont="1" applyFill="1" applyBorder="1" applyAlignment="1">
      <alignment horizontal="center" vertical="center"/>
    </xf>
    <xf numFmtId="14" fontId="34" fillId="0" borderId="17" xfId="0" applyNumberFormat="1" applyFont="1" applyFill="1" applyBorder="1" applyAlignment="1">
      <alignment horizontal="center" vertical="center"/>
    </xf>
    <xf numFmtId="14" fontId="32" fillId="0" borderId="19" xfId="0" applyNumberFormat="1" applyFont="1" applyFill="1" applyBorder="1" applyAlignment="1">
      <alignment horizontal="center" vertical="center"/>
    </xf>
    <xf numFmtId="0" fontId="32" fillId="0" borderId="19" xfId="0" applyFont="1" applyFill="1" applyBorder="1" applyAlignment="1">
      <alignment horizontal="center" vertical="center"/>
    </xf>
    <xf numFmtId="0" fontId="34" fillId="0" borderId="20" xfId="0" applyNumberFormat="1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horizontal="center" vertical="center"/>
    </xf>
    <xf numFmtId="178" fontId="34" fillId="0" borderId="20" xfId="0" applyNumberFormat="1" applyFont="1" applyFill="1" applyBorder="1" applyAlignment="1">
      <alignment horizontal="center" vertical="center"/>
    </xf>
    <xf numFmtId="2" fontId="34" fillId="0" borderId="20" xfId="0" applyNumberFormat="1" applyFont="1" applyFill="1" applyBorder="1" applyAlignment="1">
      <alignment horizontal="center" vertical="center"/>
    </xf>
    <xf numFmtId="0" fontId="34" fillId="57" borderId="21" xfId="0" applyNumberFormat="1" applyFont="1" applyFill="1" applyBorder="1" applyAlignment="1">
      <alignment horizontal="center" vertical="center"/>
    </xf>
    <xf numFmtId="14" fontId="34" fillId="0" borderId="20" xfId="0" applyNumberFormat="1" applyFont="1" applyFill="1" applyBorder="1" applyAlignment="1">
      <alignment horizontal="center" vertical="center"/>
    </xf>
    <xf numFmtId="0" fontId="34" fillId="58" borderId="4" xfId="0" applyNumberFormat="1" applyFont="1" applyFill="1" applyBorder="1" applyAlignment="1">
      <alignment horizontal="center" vertical="center"/>
    </xf>
    <xf numFmtId="0" fontId="34" fillId="58" borderId="4" xfId="0" applyFont="1" applyFill="1" applyBorder="1" applyAlignment="1">
      <alignment horizontal="center" vertical="center"/>
    </xf>
    <xf numFmtId="0" fontId="34" fillId="58" borderId="17" xfId="0" applyFont="1" applyFill="1" applyBorder="1" applyAlignment="1">
      <alignment horizontal="center" vertical="center"/>
    </xf>
    <xf numFmtId="0" fontId="34" fillId="55" borderId="17" xfId="0" applyFont="1" applyFill="1" applyBorder="1" applyAlignment="1">
      <alignment horizontal="center" vertical="center"/>
    </xf>
    <xf numFmtId="177" fontId="33" fillId="54" borderId="4" xfId="0" applyNumberFormat="1" applyFont="1" applyFill="1" applyBorder="1" applyAlignment="1">
      <alignment horizontal="center" vertical="center"/>
    </xf>
    <xf numFmtId="177" fontId="57" fillId="54" borderId="4" xfId="0" applyNumberFormat="1" applyFont="1" applyFill="1" applyBorder="1" applyAlignment="1">
      <alignment horizontal="center" vertical="center"/>
    </xf>
    <xf numFmtId="0" fontId="34" fillId="57" borderId="16" xfId="0" applyFont="1" applyFill="1" applyBorder="1" applyAlignment="1">
      <alignment horizontal="center" vertical="center"/>
    </xf>
    <xf numFmtId="0" fontId="57" fillId="0" borderId="0" xfId="0" applyFont="1" applyFill="1" applyAlignment="1">
      <alignment horizontal="left"/>
    </xf>
    <xf numFmtId="179" fontId="34" fillId="0" borderId="0" xfId="0" applyNumberFormat="1" applyFont="1" applyFill="1" applyBorder="1" applyAlignment="1">
      <alignment horizontal="center" vertical="center"/>
    </xf>
    <xf numFmtId="179" fontId="34" fillId="8" borderId="0" xfId="0" applyNumberFormat="1" applyFont="1" applyFill="1" applyAlignment="1">
      <alignment horizontal="center" vertical="center"/>
    </xf>
    <xf numFmtId="179" fontId="47" fillId="8" borderId="0" xfId="0" applyNumberFormat="1" applyFont="1" applyFill="1" applyBorder="1" applyAlignment="1">
      <alignment horizontal="center" vertical="center"/>
    </xf>
    <xf numFmtId="179" fontId="47" fillId="55" borderId="0" xfId="0" applyNumberFormat="1" applyFont="1" applyFill="1" applyBorder="1" applyAlignment="1">
      <alignment horizontal="center" vertical="center"/>
    </xf>
    <xf numFmtId="179" fontId="33" fillId="54" borderId="4" xfId="0" applyNumberFormat="1" applyFont="1" applyFill="1" applyBorder="1" applyAlignment="1">
      <alignment horizontal="center" vertical="center"/>
    </xf>
    <xf numFmtId="179" fontId="33" fillId="54" borderId="5" xfId="0" applyNumberFormat="1" applyFont="1" applyFill="1" applyBorder="1" applyAlignment="1">
      <alignment horizontal="center" vertical="center"/>
    </xf>
    <xf numFmtId="179" fontId="34" fillId="0" borderId="4" xfId="0" applyNumberFormat="1" applyFont="1" applyFill="1" applyBorder="1" applyAlignment="1">
      <alignment horizontal="center" vertical="center"/>
    </xf>
    <xf numFmtId="179" fontId="32" fillId="0" borderId="0" xfId="0" applyNumberFormat="1" applyFont="1" applyFill="1" applyAlignment="1">
      <alignment horizontal="center"/>
    </xf>
    <xf numFmtId="179" fontId="32" fillId="0" borderId="0" xfId="0" applyNumberFormat="1" applyFont="1" applyAlignment="1">
      <alignment horizontal="center"/>
    </xf>
    <xf numFmtId="49" fontId="33" fillId="53" borderId="4" xfId="0" applyNumberFormat="1" applyFont="1" applyFill="1" applyBorder="1" applyAlignment="1">
      <alignment horizontal="center" vertical="center"/>
    </xf>
    <xf numFmtId="49" fontId="33" fillId="53" borderId="5" xfId="0" applyNumberFormat="1" applyFont="1" applyFill="1" applyBorder="1" applyAlignment="1">
      <alignment horizontal="center" vertical="center"/>
    </xf>
    <xf numFmtId="0" fontId="61" fillId="0" borderId="0" xfId="0" applyFont="1" applyFill="1" applyAlignment="1">
      <alignment horizontal="left"/>
    </xf>
  </cellXfs>
  <cellStyles count="181">
    <cellStyle name="20% - 강조색1 2" xfId="14" xr:uid="{00000000-0005-0000-0000-000000000000}"/>
    <cellStyle name="20% - 강조색1 2 2" xfId="15" xr:uid="{00000000-0005-0000-0000-000001000000}"/>
    <cellStyle name="20% - 강조색1 2 3" xfId="16" xr:uid="{00000000-0005-0000-0000-000002000000}"/>
    <cellStyle name="20% - 강조색2 2" xfId="17" xr:uid="{00000000-0005-0000-0000-000003000000}"/>
    <cellStyle name="20% - 강조색2 2 2" xfId="18" xr:uid="{00000000-0005-0000-0000-000004000000}"/>
    <cellStyle name="20% - 강조색2 2 3" xfId="19" xr:uid="{00000000-0005-0000-0000-000005000000}"/>
    <cellStyle name="20% - 강조색3 2" xfId="20" xr:uid="{00000000-0005-0000-0000-000006000000}"/>
    <cellStyle name="20% - 강조색3 2 2" xfId="21" xr:uid="{00000000-0005-0000-0000-000007000000}"/>
    <cellStyle name="20% - 강조색3 2 3" xfId="22" xr:uid="{00000000-0005-0000-0000-000008000000}"/>
    <cellStyle name="20% - 강조색4 2" xfId="23" xr:uid="{00000000-0005-0000-0000-000009000000}"/>
    <cellStyle name="20% - 강조색4 2 2" xfId="24" xr:uid="{00000000-0005-0000-0000-00000A000000}"/>
    <cellStyle name="20% - 강조색4 2 3" xfId="25" xr:uid="{00000000-0005-0000-0000-00000B000000}"/>
    <cellStyle name="20% - 강조색5 2" xfId="26" xr:uid="{00000000-0005-0000-0000-00000C000000}"/>
    <cellStyle name="20% - 강조색5 2 2" xfId="27" xr:uid="{00000000-0005-0000-0000-00000D000000}"/>
    <cellStyle name="20% - 강조색5 2 3" xfId="28" xr:uid="{00000000-0005-0000-0000-00000E000000}"/>
    <cellStyle name="20% - 강조색6 2" xfId="29" xr:uid="{00000000-0005-0000-0000-00000F000000}"/>
    <cellStyle name="20% - 강조색6 2 2" xfId="30" xr:uid="{00000000-0005-0000-0000-000010000000}"/>
    <cellStyle name="20% - 강조색6 2 3" xfId="31" xr:uid="{00000000-0005-0000-0000-000011000000}"/>
    <cellStyle name="40% - 강조색1 2" xfId="32" xr:uid="{00000000-0005-0000-0000-000012000000}"/>
    <cellStyle name="40% - 강조색1 2 2" xfId="33" xr:uid="{00000000-0005-0000-0000-000013000000}"/>
    <cellStyle name="40% - 강조색1 2 3" xfId="34" xr:uid="{00000000-0005-0000-0000-000014000000}"/>
    <cellStyle name="40% - 강조색1 3" xfId="35" xr:uid="{00000000-0005-0000-0000-000015000000}"/>
    <cellStyle name="40% - 강조색2 2" xfId="36" xr:uid="{00000000-0005-0000-0000-000016000000}"/>
    <cellStyle name="40% - 강조색2 2 2" xfId="37" xr:uid="{00000000-0005-0000-0000-000017000000}"/>
    <cellStyle name="40% - 강조색2 2 3" xfId="38" xr:uid="{00000000-0005-0000-0000-000018000000}"/>
    <cellStyle name="40% - 강조색3 2" xfId="39" xr:uid="{00000000-0005-0000-0000-000019000000}"/>
    <cellStyle name="40% - 강조색3 2 2" xfId="40" xr:uid="{00000000-0005-0000-0000-00001A000000}"/>
    <cellStyle name="40% - 강조색3 2 3" xfId="41" xr:uid="{00000000-0005-0000-0000-00001B000000}"/>
    <cellStyle name="40% - 강조색4 2" xfId="42" xr:uid="{00000000-0005-0000-0000-00001C000000}"/>
    <cellStyle name="40% - 강조색4 2 2" xfId="43" xr:uid="{00000000-0005-0000-0000-00001D000000}"/>
    <cellStyle name="40% - 강조색4 2 3" xfId="44" xr:uid="{00000000-0005-0000-0000-00001E000000}"/>
    <cellStyle name="40% - 강조색5 2" xfId="45" xr:uid="{00000000-0005-0000-0000-00001F000000}"/>
    <cellStyle name="40% - 강조색5 2 2" xfId="46" xr:uid="{00000000-0005-0000-0000-000020000000}"/>
    <cellStyle name="40% - 강조색5 2 3" xfId="47" xr:uid="{00000000-0005-0000-0000-000021000000}"/>
    <cellStyle name="40% - 강조색6 2" xfId="48" xr:uid="{00000000-0005-0000-0000-000022000000}"/>
    <cellStyle name="40% - 강조색6 2 2" xfId="49" xr:uid="{00000000-0005-0000-0000-000023000000}"/>
    <cellStyle name="40% - 강조색6 2 3" xfId="50" xr:uid="{00000000-0005-0000-0000-000024000000}"/>
    <cellStyle name="60% - 강조색1 2" xfId="51" xr:uid="{00000000-0005-0000-0000-000025000000}"/>
    <cellStyle name="60% - 강조색1 2 2" xfId="52" xr:uid="{00000000-0005-0000-0000-000026000000}"/>
    <cellStyle name="60% - 강조색1 2 3" xfId="53" xr:uid="{00000000-0005-0000-0000-000027000000}"/>
    <cellStyle name="60% - 강조색2 2" xfId="54" xr:uid="{00000000-0005-0000-0000-000028000000}"/>
    <cellStyle name="60% - 강조색2 2 2" xfId="55" xr:uid="{00000000-0005-0000-0000-000029000000}"/>
    <cellStyle name="60% - 강조색2 2 3" xfId="56" xr:uid="{00000000-0005-0000-0000-00002A000000}"/>
    <cellStyle name="60% - 강조색3 2" xfId="57" xr:uid="{00000000-0005-0000-0000-00002B000000}"/>
    <cellStyle name="60% - 강조색3 2 2" xfId="58" xr:uid="{00000000-0005-0000-0000-00002C000000}"/>
    <cellStyle name="60% - 강조색3 2 3" xfId="59" xr:uid="{00000000-0005-0000-0000-00002D000000}"/>
    <cellStyle name="60% - 강조색4 2" xfId="60" xr:uid="{00000000-0005-0000-0000-00002E000000}"/>
    <cellStyle name="60% - 강조색4 2 2" xfId="61" xr:uid="{00000000-0005-0000-0000-00002F000000}"/>
    <cellStyle name="60% - 강조색4 2 3" xfId="62" xr:uid="{00000000-0005-0000-0000-000030000000}"/>
    <cellStyle name="60% - 강조색5 2" xfId="63" xr:uid="{00000000-0005-0000-0000-000031000000}"/>
    <cellStyle name="60% - 강조색5 2 2" xfId="64" xr:uid="{00000000-0005-0000-0000-000032000000}"/>
    <cellStyle name="60% - 강조색5 2 3" xfId="65" xr:uid="{00000000-0005-0000-0000-000033000000}"/>
    <cellStyle name="60% - 강조색6 2" xfId="66" xr:uid="{00000000-0005-0000-0000-000034000000}"/>
    <cellStyle name="60% - 강조색6 2 2" xfId="67" xr:uid="{00000000-0005-0000-0000-000035000000}"/>
    <cellStyle name="60% - 강조색6 2 3" xfId="68" xr:uid="{00000000-0005-0000-0000-000036000000}"/>
    <cellStyle name="강조색1 2" xfId="69" xr:uid="{00000000-0005-0000-0000-000037000000}"/>
    <cellStyle name="강조색1 2 2" xfId="70" xr:uid="{00000000-0005-0000-0000-000038000000}"/>
    <cellStyle name="강조색1 2 3" xfId="71" xr:uid="{00000000-0005-0000-0000-000039000000}"/>
    <cellStyle name="강조색2 2" xfId="72" xr:uid="{00000000-0005-0000-0000-00003A000000}"/>
    <cellStyle name="강조색2 2 2" xfId="73" xr:uid="{00000000-0005-0000-0000-00003B000000}"/>
    <cellStyle name="강조색2 2 3" xfId="74" xr:uid="{00000000-0005-0000-0000-00003C000000}"/>
    <cellStyle name="강조색3 2" xfId="75" xr:uid="{00000000-0005-0000-0000-00003D000000}"/>
    <cellStyle name="강조색3 2 2" xfId="76" xr:uid="{00000000-0005-0000-0000-00003E000000}"/>
    <cellStyle name="강조색3 2 3" xfId="77" xr:uid="{00000000-0005-0000-0000-00003F000000}"/>
    <cellStyle name="강조색4 2" xfId="78" xr:uid="{00000000-0005-0000-0000-000040000000}"/>
    <cellStyle name="강조색4 2 2" xfId="79" xr:uid="{00000000-0005-0000-0000-000041000000}"/>
    <cellStyle name="강조색4 2 3" xfId="80" xr:uid="{00000000-0005-0000-0000-000042000000}"/>
    <cellStyle name="강조색5 2" xfId="81" xr:uid="{00000000-0005-0000-0000-000043000000}"/>
    <cellStyle name="강조색5 2 2" xfId="82" xr:uid="{00000000-0005-0000-0000-000044000000}"/>
    <cellStyle name="강조색5 2 3" xfId="83" xr:uid="{00000000-0005-0000-0000-000045000000}"/>
    <cellStyle name="강조색6 2" xfId="84" xr:uid="{00000000-0005-0000-0000-000046000000}"/>
    <cellStyle name="강조색6 2 2" xfId="85" xr:uid="{00000000-0005-0000-0000-000047000000}"/>
    <cellStyle name="강조색6 2 3" xfId="86" xr:uid="{00000000-0005-0000-0000-000048000000}"/>
    <cellStyle name="경고문 2" xfId="87" xr:uid="{00000000-0005-0000-0000-000049000000}"/>
    <cellStyle name="경고문 2 2" xfId="88" xr:uid="{00000000-0005-0000-0000-00004A000000}"/>
    <cellStyle name="계산 2" xfId="89" xr:uid="{00000000-0005-0000-0000-00004B000000}"/>
    <cellStyle name="계산 2 2" xfId="90" xr:uid="{00000000-0005-0000-0000-00004C000000}"/>
    <cellStyle name="계산 2 3" xfId="91" xr:uid="{00000000-0005-0000-0000-00004D000000}"/>
    <cellStyle name="기본" xfId="92" xr:uid="{00000000-0005-0000-0000-00004E000000}"/>
    <cellStyle name="나쁨 2" xfId="93" xr:uid="{00000000-0005-0000-0000-00004F000000}"/>
    <cellStyle name="나쁨 2 2" xfId="94" xr:uid="{00000000-0005-0000-0000-000050000000}"/>
    <cellStyle name="나쁨 2 3" xfId="95" xr:uid="{00000000-0005-0000-0000-000051000000}"/>
    <cellStyle name="메모 2" xfId="96" xr:uid="{00000000-0005-0000-0000-000052000000}"/>
    <cellStyle name="메모 2 2" xfId="97" xr:uid="{00000000-0005-0000-0000-000053000000}"/>
    <cellStyle name="메모 2 3" xfId="98" xr:uid="{00000000-0005-0000-0000-000054000000}"/>
    <cellStyle name="메모 3" xfId="99" xr:uid="{00000000-0005-0000-0000-000055000000}"/>
    <cellStyle name="메모 4" xfId="100" xr:uid="{00000000-0005-0000-0000-000056000000}"/>
    <cellStyle name="보통 2" xfId="101" xr:uid="{00000000-0005-0000-0000-000057000000}"/>
    <cellStyle name="보통 2 2" xfId="102" xr:uid="{00000000-0005-0000-0000-000058000000}"/>
    <cellStyle name="보통 2 2 2" xfId="103" xr:uid="{00000000-0005-0000-0000-000059000000}"/>
    <cellStyle name="보통 2 3" xfId="104" xr:uid="{00000000-0005-0000-0000-00005A000000}"/>
    <cellStyle name="설명 텍스트 2" xfId="105" xr:uid="{00000000-0005-0000-0000-00005B000000}"/>
    <cellStyle name="설명 텍스트 2 2" xfId="106" xr:uid="{00000000-0005-0000-0000-00005C000000}"/>
    <cellStyle name="셀 확인 2" xfId="107" xr:uid="{00000000-0005-0000-0000-00005D000000}"/>
    <cellStyle name="셀 확인 2 2" xfId="108" xr:uid="{00000000-0005-0000-0000-00005E000000}"/>
    <cellStyle name="셀 확인 2 3" xfId="109" xr:uid="{00000000-0005-0000-0000-00005F000000}"/>
    <cellStyle name="쉼표 [0] 2" xfId="2" xr:uid="{00000000-0005-0000-0000-000060000000}"/>
    <cellStyle name="쉼표 [0] 2 11 2" xfId="3" xr:uid="{00000000-0005-0000-0000-000061000000}"/>
    <cellStyle name="쉼표 [0] 2 11 2 2" xfId="163" xr:uid="{00000000-0005-0000-0000-000062000000}"/>
    <cellStyle name="쉼표 [0] 2 11 2 2 2" xfId="175" xr:uid="{00000000-0005-0000-0000-000063000000}"/>
    <cellStyle name="쉼표 [0] 2 11 2 3" xfId="168" xr:uid="{00000000-0005-0000-0000-000064000000}"/>
    <cellStyle name="쉼표 [0] 2 2" xfId="161" xr:uid="{00000000-0005-0000-0000-000065000000}"/>
    <cellStyle name="쉼표 [0] 2 2 2" xfId="173" xr:uid="{00000000-0005-0000-0000-000066000000}"/>
    <cellStyle name="쉼표 [0] 2 2 2 2 2" xfId="4" xr:uid="{00000000-0005-0000-0000-000067000000}"/>
    <cellStyle name="쉼표 [0] 2 2 2 2 2 2" xfId="164" xr:uid="{00000000-0005-0000-0000-000068000000}"/>
    <cellStyle name="쉼표 [0] 2 2 2 2 2 2 2" xfId="176" xr:uid="{00000000-0005-0000-0000-000069000000}"/>
    <cellStyle name="쉼표 [0] 2 2 2 2 2 3" xfId="169" xr:uid="{00000000-0005-0000-0000-00006A000000}"/>
    <cellStyle name="쉼표 [0] 2 3" xfId="167" xr:uid="{00000000-0005-0000-0000-00006B000000}"/>
    <cellStyle name="쉼표 [0] 2 4 2" xfId="5" xr:uid="{00000000-0005-0000-0000-00006C000000}"/>
    <cellStyle name="쉼표 [0] 2 4 2 2" xfId="166" xr:uid="{00000000-0005-0000-0000-00006D000000}"/>
    <cellStyle name="쉼표 [0] 2 4 2 2 2" xfId="178" xr:uid="{00000000-0005-0000-0000-00006E000000}"/>
    <cellStyle name="쉼표 [0] 2 4 2 3" xfId="170" xr:uid="{00000000-0005-0000-0000-00006F000000}"/>
    <cellStyle name="쉼표 [0] 3" xfId="6" xr:uid="{00000000-0005-0000-0000-000070000000}"/>
    <cellStyle name="쉼표 [0] 3 2" xfId="7" xr:uid="{00000000-0005-0000-0000-000071000000}"/>
    <cellStyle name="쉼표 [0] 3 2 2" xfId="165" xr:uid="{00000000-0005-0000-0000-000072000000}"/>
    <cellStyle name="쉼표 [0] 3 2 2 2" xfId="177" xr:uid="{00000000-0005-0000-0000-000073000000}"/>
    <cellStyle name="쉼표 [0] 3 2 3" xfId="172" xr:uid="{00000000-0005-0000-0000-000074000000}"/>
    <cellStyle name="쉼표 [0] 3 3" xfId="162" xr:uid="{00000000-0005-0000-0000-000075000000}"/>
    <cellStyle name="쉼표 [0] 3 3 2" xfId="174" xr:uid="{00000000-0005-0000-0000-000076000000}"/>
    <cellStyle name="쉼표 [0] 3 4" xfId="171" xr:uid="{00000000-0005-0000-0000-000077000000}"/>
    <cellStyle name="연결된 셀 2" xfId="110" xr:uid="{00000000-0005-0000-0000-000078000000}"/>
    <cellStyle name="연결된 셀 2 2" xfId="111" xr:uid="{00000000-0005-0000-0000-000079000000}"/>
    <cellStyle name="연결된 셀 3" xfId="112" xr:uid="{00000000-0005-0000-0000-00007A000000}"/>
    <cellStyle name="연결된 셀 4" xfId="113" xr:uid="{00000000-0005-0000-0000-00007B000000}"/>
    <cellStyle name="요약 2" xfId="114" xr:uid="{00000000-0005-0000-0000-00007C000000}"/>
    <cellStyle name="요약 2 2" xfId="115" xr:uid="{00000000-0005-0000-0000-00007D000000}"/>
    <cellStyle name="입력 2" xfId="116" xr:uid="{00000000-0005-0000-0000-00007E000000}"/>
    <cellStyle name="입력 2 2" xfId="117" xr:uid="{00000000-0005-0000-0000-00007F000000}"/>
    <cellStyle name="입력 2 3" xfId="118" xr:uid="{00000000-0005-0000-0000-000080000000}"/>
    <cellStyle name="제목 1 2" xfId="119" xr:uid="{00000000-0005-0000-0000-000081000000}"/>
    <cellStyle name="제목 1 2 2" xfId="120" xr:uid="{00000000-0005-0000-0000-000082000000}"/>
    <cellStyle name="제목 2 2" xfId="121" xr:uid="{00000000-0005-0000-0000-000083000000}"/>
    <cellStyle name="제목 2 2 2" xfId="122" xr:uid="{00000000-0005-0000-0000-000084000000}"/>
    <cellStyle name="제목 2 3" xfId="123" xr:uid="{00000000-0005-0000-0000-000085000000}"/>
    <cellStyle name="제목 2 4" xfId="124" xr:uid="{00000000-0005-0000-0000-000086000000}"/>
    <cellStyle name="제목 3 2" xfId="125" xr:uid="{00000000-0005-0000-0000-000087000000}"/>
    <cellStyle name="제목 3 2 2" xfId="126" xr:uid="{00000000-0005-0000-0000-000088000000}"/>
    <cellStyle name="제목 4 2" xfId="127" xr:uid="{00000000-0005-0000-0000-000089000000}"/>
    <cellStyle name="제목 4 2 2" xfId="128" xr:uid="{00000000-0005-0000-0000-00008A000000}"/>
    <cellStyle name="제목 5" xfId="129" xr:uid="{00000000-0005-0000-0000-00008B000000}"/>
    <cellStyle name="제목 5 2" xfId="130" xr:uid="{00000000-0005-0000-0000-00008C000000}"/>
    <cellStyle name="좋음 2" xfId="131" xr:uid="{00000000-0005-0000-0000-00008D000000}"/>
    <cellStyle name="좋음 2 2" xfId="132" xr:uid="{00000000-0005-0000-0000-00008E000000}"/>
    <cellStyle name="좋음 2 3" xfId="133" xr:uid="{00000000-0005-0000-0000-00008F000000}"/>
    <cellStyle name="좋음 3" xfId="134" xr:uid="{00000000-0005-0000-0000-000090000000}"/>
    <cellStyle name="출력 2" xfId="135" xr:uid="{00000000-0005-0000-0000-000091000000}"/>
    <cellStyle name="출력 2 2" xfId="136" xr:uid="{00000000-0005-0000-0000-000092000000}"/>
    <cellStyle name="출력 2 3" xfId="137" xr:uid="{00000000-0005-0000-0000-000093000000}"/>
    <cellStyle name="콤마 [0]_전체발주(업체)" xfId="8" xr:uid="{00000000-0005-0000-0000-000094000000}"/>
    <cellStyle name="표준" xfId="0" builtinId="0"/>
    <cellStyle name="표준 10" xfId="138" xr:uid="{00000000-0005-0000-0000-000096000000}"/>
    <cellStyle name="표준 102" xfId="1" xr:uid="{00000000-0005-0000-0000-000097000000}"/>
    <cellStyle name="표준 12" xfId="9" xr:uid="{00000000-0005-0000-0000-000098000000}"/>
    <cellStyle name="표준 14" xfId="10" xr:uid="{00000000-0005-0000-0000-000099000000}"/>
    <cellStyle name="표준 19" xfId="11" xr:uid="{00000000-0005-0000-0000-00009A000000}"/>
    <cellStyle name="표준 2" xfId="12" xr:uid="{00000000-0005-0000-0000-00009B000000}"/>
    <cellStyle name="표준 2 2" xfId="139" xr:uid="{00000000-0005-0000-0000-00009C000000}"/>
    <cellStyle name="표준 2 2 2" xfId="140" xr:uid="{00000000-0005-0000-0000-00009D000000}"/>
    <cellStyle name="표준 2 2 2 2" xfId="141" xr:uid="{00000000-0005-0000-0000-00009E000000}"/>
    <cellStyle name="표준 2 2 3" xfId="142" xr:uid="{00000000-0005-0000-0000-00009F000000}"/>
    <cellStyle name="표준 2 3" xfId="143" xr:uid="{00000000-0005-0000-0000-0000A0000000}"/>
    <cellStyle name="표준 2 3 2" xfId="144" xr:uid="{00000000-0005-0000-0000-0000A1000000}"/>
    <cellStyle name="표준 2 4" xfId="145" xr:uid="{00000000-0005-0000-0000-0000A2000000}"/>
    <cellStyle name="표준 2 5" xfId="146" xr:uid="{00000000-0005-0000-0000-0000A3000000}"/>
    <cellStyle name="표준 2 6" xfId="147" xr:uid="{00000000-0005-0000-0000-0000A4000000}"/>
    <cellStyle name="표준 2_임금(1)" xfId="13" xr:uid="{00000000-0005-0000-0000-0000A5000000}"/>
    <cellStyle name="표준 3" xfId="148" xr:uid="{00000000-0005-0000-0000-0000A6000000}"/>
    <cellStyle name="표준 3 2" xfId="149" xr:uid="{00000000-0005-0000-0000-0000A7000000}"/>
    <cellStyle name="표준 3 2 2" xfId="150" xr:uid="{00000000-0005-0000-0000-0000A8000000}"/>
    <cellStyle name="표준 3 2 3" xfId="151" xr:uid="{00000000-0005-0000-0000-0000A9000000}"/>
    <cellStyle name="표준 3 3" xfId="152" xr:uid="{00000000-0005-0000-0000-0000AA000000}"/>
    <cellStyle name="표준 35" xfId="153" xr:uid="{00000000-0005-0000-0000-0000AB000000}"/>
    <cellStyle name="표준 4" xfId="154" xr:uid="{00000000-0005-0000-0000-0000AC000000}"/>
    <cellStyle name="표준 4 2" xfId="155" xr:uid="{00000000-0005-0000-0000-0000AD000000}"/>
    <cellStyle name="표준 4 2 2" xfId="156" xr:uid="{00000000-0005-0000-0000-0000AE000000}"/>
    <cellStyle name="표준 5" xfId="157" xr:uid="{00000000-0005-0000-0000-0000AF000000}"/>
    <cellStyle name="표준 5 2" xfId="158" xr:uid="{00000000-0005-0000-0000-0000B0000000}"/>
    <cellStyle name="표준 6" xfId="159" xr:uid="{00000000-0005-0000-0000-0000B1000000}"/>
    <cellStyle name="표준 7" xfId="179" xr:uid="{00000000-0005-0000-0000-0000B2000000}"/>
    <cellStyle name="표준 8" xfId="180" xr:uid="{00000000-0005-0000-0000-0000B3000000}"/>
    <cellStyle name="하이퍼링크 2" xfId="160" xr:uid="{00000000-0005-0000-0000-0000B4000000}"/>
  </cellStyles>
  <dxfs count="1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il\&#53664;&#50577;&#50724;&#50684;&#48516;&#49437;&#49468;&#53552;%20&#44284;&#51228;&#50857;&#50669;&#44288;&#47532;\00%20&#49457;&#45224;-&#50668;&#51452;\01%2020060301&#51060;&#54980;\&#49688;&#47049;&#49328;&#52636;\0531\&#53552;&#45328;&#54788;&#548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il\&#53664;&#50577;&#50724;&#50684;&#48516;&#49437;&#49468;&#53552;%20&#44284;&#51228;&#50857;&#50669;&#44288;&#47532;\wp\&#44032;&#49437;&#51648;&#44396;\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발파현황"/>
      <sheetName val="이매"/>
      <sheetName val="삼동"/>
      <sheetName val="대형대피소"/>
      <sheetName val="보조공법"/>
      <sheetName val="강재거푸집"/>
    </sheetNames>
    <sheetDataSet>
      <sheetData sheetId="0">
        <row r="1">
          <cell r="A1" t="str">
            <v>성남-여주 복선전철(삼동-광주) 노반 기본 및 실시설계</v>
          </cell>
        </row>
        <row r="2">
          <cell r="B2" t="str">
            <v>이매제2터널</v>
          </cell>
        </row>
        <row r="3">
          <cell r="B3" t="str">
            <v>복선</v>
          </cell>
        </row>
        <row r="4">
          <cell r="B4" t="str">
            <v>콘크리트</v>
          </cell>
        </row>
        <row r="5">
          <cell r="B5">
            <v>8400</v>
          </cell>
        </row>
        <row r="6">
          <cell r="B6">
            <v>8400</v>
          </cell>
        </row>
        <row r="7">
          <cell r="B7">
            <v>8800</v>
          </cell>
        </row>
        <row r="8">
          <cell r="B8">
            <v>8850</v>
          </cell>
        </row>
        <row r="9">
          <cell r="B9">
            <v>450</v>
          </cell>
        </row>
        <row r="10">
          <cell r="B10">
            <v>400</v>
          </cell>
        </row>
        <row r="11">
          <cell r="B11">
            <v>50</v>
          </cell>
        </row>
        <row r="12">
          <cell r="B12">
            <v>0</v>
          </cell>
        </row>
        <row r="13">
          <cell r="B13">
            <v>50</v>
          </cell>
        </row>
        <row r="16">
          <cell r="B16" t="str">
            <v>-</v>
          </cell>
        </row>
        <row r="17">
          <cell r="B17" t="str">
            <v>중심간격 4.1</v>
          </cell>
        </row>
        <row r="18">
          <cell r="B18" t="str">
            <v>콘크리트 도상</v>
          </cell>
        </row>
        <row r="19">
          <cell r="B19">
            <v>0</v>
          </cell>
        </row>
        <row r="20">
          <cell r="B20">
            <v>200</v>
          </cell>
        </row>
        <row r="21">
          <cell r="B21">
            <v>100</v>
          </cell>
        </row>
        <row r="22">
          <cell r="B22">
            <v>60</v>
          </cell>
        </row>
        <row r="23">
          <cell r="B23">
            <v>40</v>
          </cell>
        </row>
        <row r="24">
          <cell r="B24">
            <v>0</v>
          </cell>
        </row>
        <row r="25">
          <cell r="B25">
            <v>400</v>
          </cell>
        </row>
        <row r="26">
          <cell r="B26">
            <v>400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근거(면적기준)"/>
      <sheetName val="직접인건비"/>
      <sheetName val="내역 (2)"/>
      <sheetName val="직접인건비 산출근거"/>
      <sheetName val="직접경비산출근거"/>
      <sheetName val="000000"/>
      <sheetName val="results"/>
      <sheetName val="data"/>
      <sheetName val="내역총괄"/>
      <sheetName val="직접경비"/>
      <sheetName val="인력"/>
      <sheetName val="Sheet16"/>
      <sheetName val="기초단가"/>
      <sheetName val="Sheet1"/>
      <sheetName val="Sheet1 (2)"/>
      <sheetName val="계산서(곡선부)"/>
      <sheetName val="-치수표(곡선부)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992"/>
  <sheetViews>
    <sheetView showGridLines="0" tabSelected="1" zoomScale="70" zoomScaleNormal="70" zoomScaleSheetLayoutView="70" workbookViewId="0">
      <pane xSplit="5" ySplit="8" topLeftCell="F519" activePane="bottomRight" state="frozen"/>
      <selection pane="topRight" activeCell="G1" sqref="G1"/>
      <selection pane="bottomLeft" activeCell="A9" sqref="A9"/>
      <selection pane="bottomRight" activeCell="G529" sqref="G529"/>
    </sheetView>
  </sheetViews>
  <sheetFormatPr defaultColWidth="9" defaultRowHeight="27" customHeight="1" x14ac:dyDescent="0.3"/>
  <cols>
    <col min="1" max="1" width="10.875" style="3" bestFit="1" customWidth="1"/>
    <col min="2" max="2" width="11.875" style="3" customWidth="1"/>
    <col min="3" max="3" width="11.125" style="3" customWidth="1"/>
    <col min="4" max="4" width="23.75" style="24" customWidth="1"/>
    <col min="5" max="5" width="25.875" style="3" customWidth="1"/>
    <col min="6" max="9" width="10.75" style="3" customWidth="1"/>
    <col min="10" max="14" width="10.75" style="25" customWidth="1"/>
    <col min="15" max="28" width="10.75" style="3" customWidth="1"/>
    <col min="29" max="29" width="13.125" style="2" customWidth="1"/>
    <col min="30" max="30" width="16.125" style="3" customWidth="1"/>
    <col min="31" max="31" width="11.75" style="3" customWidth="1"/>
    <col min="32" max="32" width="14" style="3" customWidth="1"/>
    <col min="33" max="33" width="11.75" style="3" customWidth="1"/>
    <col min="34" max="35" width="16.625" style="35" customWidth="1"/>
    <col min="36" max="16384" width="9" style="3"/>
  </cols>
  <sheetData>
    <row r="1" spans="1:36" s="13" customFormat="1" ht="24.95" customHeight="1" x14ac:dyDescent="0.3">
      <c r="B1" s="15"/>
      <c r="C1" s="36" t="s">
        <v>139</v>
      </c>
      <c r="D1" s="4"/>
      <c r="E1" s="5"/>
      <c r="F1" s="6"/>
      <c r="G1" s="4"/>
      <c r="H1" s="41" t="s">
        <v>138</v>
      </c>
      <c r="I1" s="14"/>
      <c r="O1" s="38"/>
      <c r="P1" s="40"/>
      <c r="Q1" s="39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29"/>
    </row>
    <row r="2" spans="1:36" s="13" customFormat="1" ht="24.95" customHeight="1" x14ac:dyDescent="0.3">
      <c r="B2" s="15"/>
      <c r="C2" s="37" t="s">
        <v>0</v>
      </c>
      <c r="D2" s="7"/>
      <c r="E2" s="8"/>
      <c r="G2" s="17"/>
      <c r="H2" s="16"/>
      <c r="P2" s="43"/>
      <c r="AC2" s="29"/>
      <c r="AD2" s="31"/>
      <c r="AE2" s="32"/>
    </row>
    <row r="3" spans="1:36" s="13" customFormat="1" ht="24.95" customHeight="1" x14ac:dyDescent="0.3">
      <c r="B3" s="15"/>
      <c r="C3" s="37" t="s">
        <v>1</v>
      </c>
      <c r="D3" s="7"/>
      <c r="E3" s="5"/>
      <c r="F3" s="8"/>
      <c r="G3" s="17"/>
      <c r="H3" s="16"/>
      <c r="I3" s="9"/>
      <c r="O3" s="18"/>
      <c r="P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9"/>
      <c r="AD3" s="31"/>
      <c r="AE3" s="32"/>
    </row>
    <row r="4" spans="1:36" s="13" customFormat="1" ht="24.95" customHeight="1" x14ac:dyDescent="0.3">
      <c r="B4" s="15"/>
      <c r="C4" s="37" t="s">
        <v>36</v>
      </c>
      <c r="D4" s="7"/>
      <c r="E4" s="5"/>
      <c r="F4" s="33"/>
      <c r="G4" s="17"/>
      <c r="H4" s="16"/>
      <c r="I4" s="9"/>
      <c r="O4" s="18"/>
      <c r="P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9"/>
    </row>
    <row r="5" spans="1:36" s="13" customFormat="1" ht="38.25" x14ac:dyDescent="0.3">
      <c r="B5" s="15"/>
      <c r="C5" s="20"/>
      <c r="D5" s="44" t="s">
        <v>38</v>
      </c>
      <c r="E5" s="45"/>
      <c r="F5" s="46"/>
      <c r="G5" s="47"/>
      <c r="H5" s="48"/>
      <c r="I5" s="48"/>
      <c r="J5" s="49"/>
      <c r="K5" s="49"/>
      <c r="L5" s="49"/>
      <c r="M5" s="49"/>
      <c r="N5" s="49"/>
      <c r="O5" s="50"/>
      <c r="P5" s="50"/>
      <c r="Q5" s="29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29"/>
    </row>
    <row r="6" spans="1:36" s="21" customFormat="1" ht="27" customHeight="1" x14ac:dyDescent="0.3">
      <c r="B6" s="1"/>
      <c r="C6" s="1"/>
      <c r="D6" s="100" t="s">
        <v>2</v>
      </c>
      <c r="E6" s="10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1" t="s">
        <v>12</v>
      </c>
      <c r="N6" s="11" t="s">
        <v>11</v>
      </c>
      <c r="O6" s="11" t="s">
        <v>15</v>
      </c>
      <c r="P6" s="11" t="s">
        <v>14</v>
      </c>
      <c r="Q6" s="11" t="s">
        <v>13</v>
      </c>
      <c r="R6" s="42" t="s">
        <v>27</v>
      </c>
      <c r="S6" s="42" t="s">
        <v>40</v>
      </c>
      <c r="T6" s="42" t="s">
        <v>41</v>
      </c>
      <c r="U6" s="42" t="s">
        <v>42</v>
      </c>
      <c r="V6" s="42" t="s">
        <v>43</v>
      </c>
      <c r="W6" s="42" t="s">
        <v>44</v>
      </c>
      <c r="X6" s="42" t="s">
        <v>45</v>
      </c>
      <c r="Y6" s="42" t="s">
        <v>46</v>
      </c>
      <c r="Z6" s="42" t="s">
        <v>47</v>
      </c>
      <c r="AA6" s="42" t="s">
        <v>48</v>
      </c>
      <c r="AB6" s="11" t="s">
        <v>16</v>
      </c>
      <c r="AE6" s="32" t="s">
        <v>28</v>
      </c>
      <c r="AI6" s="1"/>
      <c r="AJ6" s="1"/>
    </row>
    <row r="7" spans="1:36" s="21" customFormat="1" ht="20.100000000000001" customHeight="1" x14ac:dyDescent="0.3">
      <c r="B7" s="1"/>
      <c r="C7" s="1"/>
      <c r="D7" s="100"/>
      <c r="E7" s="10" t="s">
        <v>39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42"/>
      <c r="S7" s="42"/>
      <c r="T7" s="42"/>
      <c r="U7" s="42"/>
      <c r="V7" s="42"/>
      <c r="W7" s="42"/>
      <c r="X7" s="42"/>
      <c r="Y7" s="42"/>
      <c r="Z7" s="42"/>
      <c r="AA7" s="42"/>
      <c r="AB7" s="11" t="s">
        <v>37</v>
      </c>
      <c r="AC7" s="26" t="s">
        <v>24</v>
      </c>
      <c r="AE7" s="32" t="s">
        <v>29</v>
      </c>
      <c r="AI7" s="1"/>
      <c r="AJ7" s="1"/>
    </row>
    <row r="8" spans="1:36" s="21" customFormat="1" ht="39" customHeight="1" x14ac:dyDescent="0.3">
      <c r="A8" s="12" t="s">
        <v>19</v>
      </c>
      <c r="B8" s="22" t="s">
        <v>20</v>
      </c>
      <c r="C8" s="22" t="s">
        <v>21</v>
      </c>
      <c r="D8" s="101"/>
      <c r="E8" s="52" t="s">
        <v>17</v>
      </c>
      <c r="F8" s="53" t="s">
        <v>18</v>
      </c>
      <c r="G8" s="53" t="s">
        <v>18</v>
      </c>
      <c r="H8" s="53" t="s">
        <v>18</v>
      </c>
      <c r="I8" s="53" t="s">
        <v>18</v>
      </c>
      <c r="J8" s="53" t="s">
        <v>18</v>
      </c>
      <c r="K8" s="53" t="s">
        <v>18</v>
      </c>
      <c r="L8" s="53" t="s">
        <v>18</v>
      </c>
      <c r="M8" s="53" t="s">
        <v>22</v>
      </c>
      <c r="N8" s="53" t="s">
        <v>18</v>
      </c>
      <c r="O8" s="53" t="s">
        <v>22</v>
      </c>
      <c r="P8" s="53" t="s">
        <v>22</v>
      </c>
      <c r="Q8" s="53" t="s">
        <v>22</v>
      </c>
      <c r="R8" s="54" t="s">
        <v>18</v>
      </c>
      <c r="S8" s="54" t="s">
        <v>18</v>
      </c>
      <c r="T8" s="54" t="s">
        <v>18</v>
      </c>
      <c r="U8" s="54" t="s">
        <v>18</v>
      </c>
      <c r="V8" s="54" t="s">
        <v>18</v>
      </c>
      <c r="W8" s="54" t="s">
        <v>18</v>
      </c>
      <c r="X8" s="54" t="s">
        <v>18</v>
      </c>
      <c r="Y8" s="54" t="s">
        <v>18</v>
      </c>
      <c r="Z8" s="54" t="s">
        <v>18</v>
      </c>
      <c r="AA8" s="54" t="s">
        <v>18</v>
      </c>
      <c r="AB8" s="53" t="s">
        <v>23</v>
      </c>
      <c r="AC8" s="28" t="s">
        <v>25</v>
      </c>
      <c r="AD8" s="30" t="s">
        <v>26</v>
      </c>
      <c r="AE8" s="55" t="s">
        <v>31</v>
      </c>
      <c r="AF8" s="55" t="s">
        <v>32</v>
      </c>
      <c r="AG8" s="55" t="s">
        <v>33</v>
      </c>
      <c r="AH8" s="56" t="s">
        <v>30</v>
      </c>
      <c r="AI8" s="1" t="s">
        <v>34</v>
      </c>
      <c r="AJ8" s="1" t="s">
        <v>35</v>
      </c>
    </row>
    <row r="9" spans="1:36" s="2" customFormat="1" ht="16.5" x14ac:dyDescent="0.3">
      <c r="A9" s="27">
        <v>45950</v>
      </c>
      <c r="B9" s="27">
        <v>45945</v>
      </c>
      <c r="C9" s="21" t="s">
        <v>49</v>
      </c>
      <c r="D9" s="57" t="s">
        <v>50</v>
      </c>
      <c r="E9" s="58" t="s">
        <v>51</v>
      </c>
      <c r="F9" s="60"/>
      <c r="G9" s="60"/>
      <c r="H9" s="60"/>
      <c r="I9" s="60"/>
      <c r="J9" s="60"/>
      <c r="K9" s="57" t="s">
        <v>140</v>
      </c>
      <c r="L9" s="61">
        <v>10.3</v>
      </c>
      <c r="M9" s="62">
        <v>5.01</v>
      </c>
      <c r="N9" s="61">
        <v>11</v>
      </c>
      <c r="O9" s="61">
        <v>20.399999999999999</v>
      </c>
      <c r="P9" s="61">
        <v>56.8</v>
      </c>
      <c r="Q9" s="57" t="s">
        <v>140</v>
      </c>
      <c r="R9" s="57" t="s">
        <v>140</v>
      </c>
      <c r="S9" s="60"/>
      <c r="T9" s="60"/>
      <c r="U9" s="60"/>
      <c r="V9" s="60"/>
      <c r="W9" s="60"/>
      <c r="X9" s="60"/>
      <c r="Y9" s="60"/>
      <c r="Z9" s="60"/>
      <c r="AA9" s="60"/>
      <c r="AB9" s="60"/>
      <c r="AC9" s="59">
        <f>B9+14</f>
        <v>45959</v>
      </c>
      <c r="AD9" s="57"/>
      <c r="AE9" s="60"/>
      <c r="AF9" s="59">
        <v>45959</v>
      </c>
      <c r="AG9" s="60"/>
      <c r="AH9" s="57"/>
      <c r="AI9" s="34"/>
      <c r="AJ9" s="34"/>
    </row>
    <row r="10" spans="1:36" s="2" customFormat="1" ht="16.5" x14ac:dyDescent="0.3">
      <c r="A10" s="27">
        <v>45950</v>
      </c>
      <c r="B10" s="27">
        <v>45945</v>
      </c>
      <c r="C10" s="21" t="s">
        <v>49</v>
      </c>
      <c r="D10" s="57" t="s">
        <v>52</v>
      </c>
      <c r="E10" s="58" t="s">
        <v>92</v>
      </c>
      <c r="F10" s="60"/>
      <c r="G10" s="60"/>
      <c r="H10" s="60"/>
      <c r="I10" s="60"/>
      <c r="J10" s="60"/>
      <c r="K10" s="57" t="s">
        <v>140</v>
      </c>
      <c r="L10" s="61">
        <v>14.9</v>
      </c>
      <c r="M10" s="62">
        <v>7.24</v>
      </c>
      <c r="N10" s="61">
        <v>24.1</v>
      </c>
      <c r="O10" s="61">
        <v>17.899999999999999</v>
      </c>
      <c r="P10" s="61">
        <v>145.69999999999999</v>
      </c>
      <c r="Q10" s="57" t="s">
        <v>140</v>
      </c>
      <c r="R10" s="57" t="s">
        <v>140</v>
      </c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59">
        <f>B10+14</f>
        <v>45959</v>
      </c>
      <c r="AD10" s="57"/>
      <c r="AE10" s="60"/>
      <c r="AF10" s="59">
        <v>45959</v>
      </c>
      <c r="AG10" s="60"/>
      <c r="AH10" s="57"/>
      <c r="AI10" s="34"/>
      <c r="AJ10" s="34"/>
    </row>
    <row r="11" spans="1:36" s="2" customFormat="1" ht="16.5" x14ac:dyDescent="0.3">
      <c r="A11" s="27">
        <v>45950</v>
      </c>
      <c r="B11" s="27">
        <v>45945</v>
      </c>
      <c r="C11" s="21" t="s">
        <v>49</v>
      </c>
      <c r="D11" s="57" t="s">
        <v>53</v>
      </c>
      <c r="E11" s="58" t="s">
        <v>94</v>
      </c>
      <c r="F11" s="57" t="s">
        <v>457</v>
      </c>
      <c r="G11" s="57" t="s">
        <v>457</v>
      </c>
      <c r="H11" s="57" t="s">
        <v>457</v>
      </c>
      <c r="I11" s="57" t="s">
        <v>457</v>
      </c>
      <c r="J11" s="57" t="s">
        <v>457</v>
      </c>
      <c r="K11" s="60"/>
      <c r="L11" s="64"/>
      <c r="M11" s="63"/>
      <c r="N11" s="64"/>
      <c r="O11" s="64"/>
      <c r="P11" s="64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59">
        <f t="shared" ref="AC11" si="0">B11+14</f>
        <v>45959</v>
      </c>
      <c r="AD11" s="57"/>
      <c r="AE11" s="59">
        <v>45959</v>
      </c>
      <c r="AF11" s="60"/>
      <c r="AG11" s="60"/>
      <c r="AH11" s="57"/>
      <c r="AI11" s="34"/>
      <c r="AJ11" s="34"/>
    </row>
    <row r="12" spans="1:36" s="2" customFormat="1" ht="16.5" x14ac:dyDescent="0.3">
      <c r="A12" s="27">
        <v>45950</v>
      </c>
      <c r="B12" s="27">
        <v>45945</v>
      </c>
      <c r="C12" s="21" t="s">
        <v>49</v>
      </c>
      <c r="D12" s="57" t="s">
        <v>54</v>
      </c>
      <c r="E12" s="58" t="s">
        <v>95</v>
      </c>
      <c r="F12" s="60"/>
      <c r="G12" s="60"/>
      <c r="H12" s="60"/>
      <c r="I12" s="60"/>
      <c r="J12" s="60"/>
      <c r="K12" s="60"/>
      <c r="L12" s="64"/>
      <c r="M12" s="63"/>
      <c r="N12" s="64"/>
      <c r="O12" s="64"/>
      <c r="P12" s="64"/>
      <c r="Q12" s="60"/>
      <c r="R12" s="60"/>
      <c r="S12" s="60"/>
      <c r="T12" s="60"/>
      <c r="U12" s="60"/>
      <c r="V12" s="60"/>
      <c r="W12" s="57" t="s">
        <v>140</v>
      </c>
      <c r="X12" s="60"/>
      <c r="Y12" s="60"/>
      <c r="Z12" s="60"/>
      <c r="AA12" s="60"/>
      <c r="AB12" s="60"/>
      <c r="AC12" s="59">
        <f t="shared" ref="AC12:AC52" si="1">B12+14</f>
        <v>45959</v>
      </c>
      <c r="AD12" s="57"/>
      <c r="AE12" s="59">
        <v>45959</v>
      </c>
      <c r="AF12" s="60"/>
      <c r="AG12" s="60"/>
      <c r="AH12" s="57"/>
      <c r="AI12" s="34"/>
      <c r="AJ12" s="34"/>
    </row>
    <row r="13" spans="1:36" s="2" customFormat="1" ht="16.5" x14ac:dyDescent="0.3">
      <c r="A13" s="27">
        <v>45950</v>
      </c>
      <c r="B13" s="27">
        <v>45945</v>
      </c>
      <c r="C13" s="21" t="s">
        <v>49</v>
      </c>
      <c r="D13" s="57" t="s">
        <v>55</v>
      </c>
      <c r="E13" s="58" t="s">
        <v>96</v>
      </c>
      <c r="F13" s="57" t="s">
        <v>457</v>
      </c>
      <c r="G13" s="57" t="s">
        <v>457</v>
      </c>
      <c r="H13" s="57" t="s">
        <v>457</v>
      </c>
      <c r="I13" s="57" t="s">
        <v>457</v>
      </c>
      <c r="J13" s="57" t="s">
        <v>457</v>
      </c>
      <c r="K13" s="60"/>
      <c r="L13" s="64"/>
      <c r="M13" s="63"/>
      <c r="N13" s="64"/>
      <c r="O13" s="64"/>
      <c r="P13" s="64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59">
        <f t="shared" si="1"/>
        <v>45959</v>
      </c>
      <c r="AD13" s="57"/>
      <c r="AE13" s="59">
        <v>45959</v>
      </c>
      <c r="AF13" s="60"/>
      <c r="AG13" s="60"/>
      <c r="AH13" s="57"/>
      <c r="AI13" s="34"/>
      <c r="AJ13" s="34"/>
    </row>
    <row r="14" spans="1:36" s="2" customFormat="1" ht="16.5" x14ac:dyDescent="0.3">
      <c r="A14" s="27">
        <v>45950</v>
      </c>
      <c r="B14" s="27">
        <v>45945</v>
      </c>
      <c r="C14" s="21" t="s">
        <v>49</v>
      </c>
      <c r="D14" s="57" t="s">
        <v>56</v>
      </c>
      <c r="E14" s="58" t="s">
        <v>97</v>
      </c>
      <c r="F14" s="57" t="s">
        <v>457</v>
      </c>
      <c r="G14" s="57" t="s">
        <v>457</v>
      </c>
      <c r="H14" s="57" t="s">
        <v>457</v>
      </c>
      <c r="I14" s="57" t="s">
        <v>457</v>
      </c>
      <c r="J14" s="57" t="s">
        <v>457</v>
      </c>
      <c r="K14" s="60"/>
      <c r="L14" s="64"/>
      <c r="M14" s="63"/>
      <c r="N14" s="64"/>
      <c r="O14" s="64"/>
      <c r="P14" s="64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59">
        <f t="shared" si="1"/>
        <v>45959</v>
      </c>
      <c r="AD14" s="57"/>
      <c r="AE14" s="59">
        <v>45959</v>
      </c>
      <c r="AF14" s="60"/>
      <c r="AG14" s="60"/>
      <c r="AH14" s="57"/>
      <c r="AI14" s="34"/>
      <c r="AJ14" s="34"/>
    </row>
    <row r="15" spans="1:36" s="2" customFormat="1" ht="16.5" x14ac:dyDescent="0.3">
      <c r="A15" s="27">
        <v>45950</v>
      </c>
      <c r="B15" s="27">
        <v>45945</v>
      </c>
      <c r="C15" s="21" t="s">
        <v>49</v>
      </c>
      <c r="D15" s="57" t="s">
        <v>57</v>
      </c>
      <c r="E15" s="58" t="s">
        <v>98</v>
      </c>
      <c r="F15" s="57" t="s">
        <v>457</v>
      </c>
      <c r="G15" s="57" t="s">
        <v>457</v>
      </c>
      <c r="H15" s="57" t="s">
        <v>457</v>
      </c>
      <c r="I15" s="57" t="s">
        <v>457</v>
      </c>
      <c r="J15" s="57" t="s">
        <v>457</v>
      </c>
      <c r="K15" s="60"/>
      <c r="L15" s="64"/>
      <c r="M15" s="63"/>
      <c r="N15" s="64"/>
      <c r="O15" s="64"/>
      <c r="P15" s="64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59">
        <f t="shared" si="1"/>
        <v>45959</v>
      </c>
      <c r="AD15" s="57"/>
      <c r="AE15" s="59">
        <v>45959</v>
      </c>
      <c r="AF15" s="60"/>
      <c r="AG15" s="60"/>
      <c r="AH15" s="57"/>
      <c r="AI15" s="34"/>
      <c r="AJ15" s="34"/>
    </row>
    <row r="16" spans="1:36" s="2" customFormat="1" ht="16.5" x14ac:dyDescent="0.3">
      <c r="A16" s="27">
        <v>45950</v>
      </c>
      <c r="B16" s="27">
        <v>45945</v>
      </c>
      <c r="C16" s="21" t="s">
        <v>49</v>
      </c>
      <c r="D16" s="57" t="s">
        <v>58</v>
      </c>
      <c r="E16" s="58" t="s">
        <v>99</v>
      </c>
      <c r="F16" s="57" t="s">
        <v>457</v>
      </c>
      <c r="G16" s="57" t="s">
        <v>457</v>
      </c>
      <c r="H16" s="57" t="s">
        <v>457</v>
      </c>
      <c r="I16" s="57" t="s">
        <v>457</v>
      </c>
      <c r="J16" s="57" t="s">
        <v>457</v>
      </c>
      <c r="K16" s="60"/>
      <c r="L16" s="64"/>
      <c r="M16" s="63"/>
      <c r="N16" s="64"/>
      <c r="O16" s="64"/>
      <c r="P16" s="64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59">
        <f t="shared" si="1"/>
        <v>45959</v>
      </c>
      <c r="AD16" s="57"/>
      <c r="AE16" s="59">
        <v>45959</v>
      </c>
      <c r="AF16" s="60"/>
      <c r="AG16" s="60"/>
      <c r="AH16" s="57"/>
      <c r="AI16" s="34"/>
      <c r="AJ16" s="34"/>
    </row>
    <row r="17" spans="1:36" s="2" customFormat="1" ht="16.5" x14ac:dyDescent="0.3">
      <c r="A17" s="27">
        <v>45950</v>
      </c>
      <c r="B17" s="27">
        <v>45945</v>
      </c>
      <c r="C17" s="21" t="s">
        <v>49</v>
      </c>
      <c r="D17" s="57" t="s">
        <v>59</v>
      </c>
      <c r="E17" s="58" t="s">
        <v>100</v>
      </c>
      <c r="F17" s="57" t="s">
        <v>457</v>
      </c>
      <c r="G17" s="57" t="s">
        <v>457</v>
      </c>
      <c r="H17" s="57" t="s">
        <v>457</v>
      </c>
      <c r="I17" s="57" t="s">
        <v>457</v>
      </c>
      <c r="J17" s="57" t="s">
        <v>457</v>
      </c>
      <c r="K17" s="60"/>
      <c r="L17" s="64"/>
      <c r="M17" s="63"/>
      <c r="N17" s="64"/>
      <c r="O17" s="64"/>
      <c r="P17" s="64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59">
        <f t="shared" si="1"/>
        <v>45959</v>
      </c>
      <c r="AD17" s="57"/>
      <c r="AE17" s="59">
        <v>45959</v>
      </c>
      <c r="AF17" s="60"/>
      <c r="AG17" s="60"/>
      <c r="AH17" s="57"/>
      <c r="AI17" s="34"/>
      <c r="AJ17" s="34"/>
    </row>
    <row r="18" spans="1:36" s="2" customFormat="1" ht="16.5" x14ac:dyDescent="0.3">
      <c r="A18" s="27">
        <v>45950</v>
      </c>
      <c r="B18" s="27">
        <v>45945</v>
      </c>
      <c r="C18" s="21" t="s">
        <v>49</v>
      </c>
      <c r="D18" s="57" t="s">
        <v>60</v>
      </c>
      <c r="E18" s="58" t="s">
        <v>101</v>
      </c>
      <c r="F18" s="57" t="s">
        <v>457</v>
      </c>
      <c r="G18" s="57" t="s">
        <v>457</v>
      </c>
      <c r="H18" s="57" t="s">
        <v>457</v>
      </c>
      <c r="I18" s="57" t="s">
        <v>457</v>
      </c>
      <c r="J18" s="57" t="s">
        <v>457</v>
      </c>
      <c r="K18" s="60"/>
      <c r="L18" s="64"/>
      <c r="M18" s="63"/>
      <c r="N18" s="64"/>
      <c r="O18" s="64"/>
      <c r="P18" s="64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59">
        <f t="shared" si="1"/>
        <v>45959</v>
      </c>
      <c r="AD18" s="57"/>
      <c r="AE18" s="59">
        <v>45959</v>
      </c>
      <c r="AF18" s="60"/>
      <c r="AG18" s="60"/>
      <c r="AH18" s="57"/>
      <c r="AI18" s="34"/>
      <c r="AJ18" s="34"/>
    </row>
    <row r="19" spans="1:36" s="2" customFormat="1" ht="16.5" x14ac:dyDescent="0.3">
      <c r="A19" s="27">
        <v>45950</v>
      </c>
      <c r="B19" s="27">
        <v>45945</v>
      </c>
      <c r="C19" s="21" t="s">
        <v>49</v>
      </c>
      <c r="D19" s="57" t="s">
        <v>61</v>
      </c>
      <c r="E19" s="58" t="s">
        <v>102</v>
      </c>
      <c r="F19" s="57" t="s">
        <v>457</v>
      </c>
      <c r="G19" s="57" t="s">
        <v>457</v>
      </c>
      <c r="H19" s="57" t="s">
        <v>457</v>
      </c>
      <c r="I19" s="57" t="s">
        <v>457</v>
      </c>
      <c r="J19" s="57" t="s">
        <v>457</v>
      </c>
      <c r="K19" s="60"/>
      <c r="L19" s="64"/>
      <c r="M19" s="63"/>
      <c r="N19" s="64"/>
      <c r="O19" s="64"/>
      <c r="P19" s="64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59">
        <f t="shared" si="1"/>
        <v>45959</v>
      </c>
      <c r="AD19" s="57"/>
      <c r="AE19" s="59">
        <v>45959</v>
      </c>
      <c r="AF19" s="60"/>
      <c r="AG19" s="60"/>
      <c r="AH19" s="57"/>
      <c r="AI19" s="34"/>
      <c r="AJ19" s="34"/>
    </row>
    <row r="20" spans="1:36" s="2" customFormat="1" ht="16.5" x14ac:dyDescent="0.3">
      <c r="A20" s="27">
        <v>45950</v>
      </c>
      <c r="B20" s="27">
        <v>45945</v>
      </c>
      <c r="C20" s="21" t="s">
        <v>49</v>
      </c>
      <c r="D20" s="57" t="s">
        <v>62</v>
      </c>
      <c r="E20" s="58" t="s">
        <v>103</v>
      </c>
      <c r="F20" s="57" t="s">
        <v>457</v>
      </c>
      <c r="G20" s="57" t="s">
        <v>457</v>
      </c>
      <c r="H20" s="57" t="s">
        <v>457</v>
      </c>
      <c r="I20" s="57" t="s">
        <v>457</v>
      </c>
      <c r="J20" s="57" t="s">
        <v>457</v>
      </c>
      <c r="K20" s="60"/>
      <c r="L20" s="64"/>
      <c r="M20" s="63"/>
      <c r="N20" s="64"/>
      <c r="O20" s="64"/>
      <c r="P20" s="64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59">
        <f t="shared" si="1"/>
        <v>45959</v>
      </c>
      <c r="AD20" s="57"/>
      <c r="AE20" s="59">
        <v>45959</v>
      </c>
      <c r="AF20" s="60"/>
      <c r="AG20" s="60"/>
      <c r="AH20" s="57"/>
      <c r="AI20" s="34"/>
      <c r="AJ20" s="34"/>
    </row>
    <row r="21" spans="1:36" s="2" customFormat="1" ht="16.5" x14ac:dyDescent="0.3">
      <c r="A21" s="27">
        <v>45950</v>
      </c>
      <c r="B21" s="27">
        <v>45945</v>
      </c>
      <c r="C21" s="21" t="s">
        <v>49</v>
      </c>
      <c r="D21" s="57" t="s">
        <v>63</v>
      </c>
      <c r="E21" s="58" t="s">
        <v>104</v>
      </c>
      <c r="F21" s="57" t="s">
        <v>457</v>
      </c>
      <c r="G21" s="57" t="s">
        <v>457</v>
      </c>
      <c r="H21" s="57" t="s">
        <v>457</v>
      </c>
      <c r="I21" s="57" t="s">
        <v>457</v>
      </c>
      <c r="J21" s="57" t="s">
        <v>457</v>
      </c>
      <c r="K21" s="60"/>
      <c r="L21" s="64"/>
      <c r="M21" s="63"/>
      <c r="N21" s="64"/>
      <c r="O21" s="64"/>
      <c r="P21" s="64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59">
        <f t="shared" si="1"/>
        <v>45959</v>
      </c>
      <c r="AD21" s="57"/>
      <c r="AE21" s="59">
        <v>45959</v>
      </c>
      <c r="AF21" s="60"/>
      <c r="AG21" s="60"/>
      <c r="AH21" s="57"/>
      <c r="AI21" s="34"/>
      <c r="AJ21" s="34"/>
    </row>
    <row r="22" spans="1:36" s="2" customFormat="1" ht="16.5" x14ac:dyDescent="0.3">
      <c r="A22" s="27">
        <v>45950</v>
      </c>
      <c r="B22" s="27">
        <v>45945</v>
      </c>
      <c r="C22" s="21" t="s">
        <v>49</v>
      </c>
      <c r="D22" s="57" t="s">
        <v>64</v>
      </c>
      <c r="E22" s="58" t="s">
        <v>105</v>
      </c>
      <c r="F22" s="57" t="s">
        <v>457</v>
      </c>
      <c r="G22" s="57" t="s">
        <v>457</v>
      </c>
      <c r="H22" s="57" t="s">
        <v>457</v>
      </c>
      <c r="I22" s="57" t="s">
        <v>457</v>
      </c>
      <c r="J22" s="57" t="s">
        <v>457</v>
      </c>
      <c r="K22" s="60"/>
      <c r="L22" s="64"/>
      <c r="M22" s="63"/>
      <c r="N22" s="64"/>
      <c r="O22" s="64"/>
      <c r="P22" s="64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59">
        <f t="shared" si="1"/>
        <v>45959</v>
      </c>
      <c r="AD22" s="57"/>
      <c r="AE22" s="59">
        <v>45959</v>
      </c>
      <c r="AF22" s="60"/>
      <c r="AG22" s="60"/>
      <c r="AH22" s="57"/>
      <c r="AI22" s="34"/>
      <c r="AJ22" s="34"/>
    </row>
    <row r="23" spans="1:36" s="2" customFormat="1" ht="16.5" x14ac:dyDescent="0.3">
      <c r="A23" s="27">
        <v>45950</v>
      </c>
      <c r="B23" s="27">
        <v>45945</v>
      </c>
      <c r="C23" s="21" t="s">
        <v>49</v>
      </c>
      <c r="D23" s="57" t="s">
        <v>65</v>
      </c>
      <c r="E23" s="58" t="s">
        <v>106</v>
      </c>
      <c r="F23" s="57" t="s">
        <v>457</v>
      </c>
      <c r="G23" s="57" t="s">
        <v>457</v>
      </c>
      <c r="H23" s="57" t="s">
        <v>457</v>
      </c>
      <c r="I23" s="57" t="s">
        <v>457</v>
      </c>
      <c r="J23" s="57" t="s">
        <v>457</v>
      </c>
      <c r="K23" s="60"/>
      <c r="L23" s="64"/>
      <c r="M23" s="63"/>
      <c r="N23" s="64"/>
      <c r="O23" s="64"/>
      <c r="P23" s="64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59">
        <f t="shared" si="1"/>
        <v>45959</v>
      </c>
      <c r="AD23" s="57"/>
      <c r="AE23" s="59">
        <v>45959</v>
      </c>
      <c r="AF23" s="60"/>
      <c r="AG23" s="60"/>
      <c r="AH23" s="57"/>
      <c r="AI23" s="34"/>
      <c r="AJ23" s="34"/>
    </row>
    <row r="24" spans="1:36" s="2" customFormat="1" ht="16.5" x14ac:dyDescent="0.3">
      <c r="A24" s="27">
        <v>45950</v>
      </c>
      <c r="B24" s="27">
        <v>45945</v>
      </c>
      <c r="C24" s="21" t="s">
        <v>49</v>
      </c>
      <c r="D24" s="57" t="s">
        <v>66</v>
      </c>
      <c r="E24" s="58" t="s">
        <v>107</v>
      </c>
      <c r="F24" s="57" t="s">
        <v>457</v>
      </c>
      <c r="G24" s="57" t="s">
        <v>457</v>
      </c>
      <c r="H24" s="57" t="s">
        <v>457</v>
      </c>
      <c r="I24" s="57" t="s">
        <v>457</v>
      </c>
      <c r="J24" s="57" t="s">
        <v>457</v>
      </c>
      <c r="K24" s="60"/>
      <c r="L24" s="64"/>
      <c r="M24" s="63"/>
      <c r="N24" s="64"/>
      <c r="O24" s="64"/>
      <c r="P24" s="64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59">
        <f t="shared" si="1"/>
        <v>45959</v>
      </c>
      <c r="AD24" s="57"/>
      <c r="AE24" s="59">
        <v>45959</v>
      </c>
      <c r="AF24" s="60"/>
      <c r="AG24" s="60"/>
      <c r="AH24" s="57"/>
      <c r="AI24" s="34"/>
      <c r="AJ24" s="34"/>
    </row>
    <row r="25" spans="1:36" s="2" customFormat="1" ht="16.5" x14ac:dyDescent="0.3">
      <c r="A25" s="27">
        <v>45950</v>
      </c>
      <c r="B25" s="27">
        <v>45945</v>
      </c>
      <c r="C25" s="21" t="s">
        <v>49</v>
      </c>
      <c r="D25" s="57" t="s">
        <v>67</v>
      </c>
      <c r="E25" s="58" t="s">
        <v>108</v>
      </c>
      <c r="F25" s="60"/>
      <c r="G25" s="60"/>
      <c r="H25" s="60"/>
      <c r="I25" s="60"/>
      <c r="J25" s="60"/>
      <c r="K25" s="60"/>
      <c r="L25" s="64"/>
      <c r="M25" s="63"/>
      <c r="N25" s="64"/>
      <c r="O25" s="64"/>
      <c r="P25" s="64"/>
      <c r="Q25" s="60"/>
      <c r="R25" s="60"/>
      <c r="S25" s="60"/>
      <c r="T25" s="60"/>
      <c r="U25" s="60"/>
      <c r="V25" s="60"/>
      <c r="W25" s="57" t="s">
        <v>140</v>
      </c>
      <c r="X25" s="60"/>
      <c r="Y25" s="60"/>
      <c r="Z25" s="60"/>
      <c r="AA25" s="60"/>
      <c r="AB25" s="60"/>
      <c r="AC25" s="59">
        <f t="shared" si="1"/>
        <v>45959</v>
      </c>
      <c r="AD25" s="57"/>
      <c r="AE25" s="59">
        <v>45959</v>
      </c>
      <c r="AF25" s="60"/>
      <c r="AG25" s="60"/>
      <c r="AH25" s="57"/>
      <c r="AI25" s="34"/>
      <c r="AJ25" s="34"/>
    </row>
    <row r="26" spans="1:36" s="2" customFormat="1" ht="16.5" x14ac:dyDescent="0.3">
      <c r="A26" s="27">
        <v>45950</v>
      </c>
      <c r="B26" s="27">
        <v>45945</v>
      </c>
      <c r="C26" s="21" t="s">
        <v>49</v>
      </c>
      <c r="D26" s="57" t="s">
        <v>68</v>
      </c>
      <c r="E26" s="58" t="s">
        <v>109</v>
      </c>
      <c r="F26" s="57" t="s">
        <v>457</v>
      </c>
      <c r="G26" s="57" t="s">
        <v>457</v>
      </c>
      <c r="H26" s="57" t="s">
        <v>457</v>
      </c>
      <c r="I26" s="57" t="s">
        <v>457</v>
      </c>
      <c r="J26" s="57" t="s">
        <v>457</v>
      </c>
      <c r="K26" s="60"/>
      <c r="L26" s="64"/>
      <c r="M26" s="63"/>
      <c r="N26" s="64"/>
      <c r="O26" s="64"/>
      <c r="P26" s="64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59">
        <f t="shared" si="1"/>
        <v>45959</v>
      </c>
      <c r="AD26" s="57"/>
      <c r="AE26" s="59">
        <v>45959</v>
      </c>
      <c r="AF26" s="60"/>
      <c r="AG26" s="60"/>
      <c r="AH26" s="57"/>
      <c r="AI26" s="34"/>
      <c r="AJ26" s="34"/>
    </row>
    <row r="27" spans="1:36" s="2" customFormat="1" ht="16.5" x14ac:dyDescent="0.3">
      <c r="A27" s="27">
        <v>45950</v>
      </c>
      <c r="B27" s="27">
        <v>45945</v>
      </c>
      <c r="C27" s="21" t="s">
        <v>49</v>
      </c>
      <c r="D27" s="57" t="s">
        <v>69</v>
      </c>
      <c r="E27" s="58" t="s">
        <v>110</v>
      </c>
      <c r="F27" s="57" t="s">
        <v>457</v>
      </c>
      <c r="G27" s="57" t="s">
        <v>457</v>
      </c>
      <c r="H27" s="57" t="s">
        <v>457</v>
      </c>
      <c r="I27" s="57" t="s">
        <v>457</v>
      </c>
      <c r="J27" s="57" t="s">
        <v>457</v>
      </c>
      <c r="K27" s="60"/>
      <c r="L27" s="64"/>
      <c r="M27" s="63"/>
      <c r="N27" s="64"/>
      <c r="O27" s="64"/>
      <c r="P27" s="64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59">
        <f t="shared" si="1"/>
        <v>45959</v>
      </c>
      <c r="AD27" s="57"/>
      <c r="AE27" s="59">
        <v>45959</v>
      </c>
      <c r="AF27" s="60"/>
      <c r="AG27" s="60"/>
      <c r="AH27" s="57"/>
      <c r="AI27" s="34"/>
      <c r="AJ27" s="34"/>
    </row>
    <row r="28" spans="1:36" s="2" customFormat="1" ht="16.5" x14ac:dyDescent="0.3">
      <c r="A28" s="27">
        <v>45950</v>
      </c>
      <c r="B28" s="27">
        <v>45945</v>
      </c>
      <c r="C28" s="21" t="s">
        <v>49</v>
      </c>
      <c r="D28" s="57" t="s">
        <v>70</v>
      </c>
      <c r="E28" s="58" t="s">
        <v>111</v>
      </c>
      <c r="F28" s="57" t="s">
        <v>457</v>
      </c>
      <c r="G28" s="57" t="s">
        <v>457</v>
      </c>
      <c r="H28" s="57" t="s">
        <v>457</v>
      </c>
      <c r="I28" s="57" t="s">
        <v>457</v>
      </c>
      <c r="J28" s="57" t="s">
        <v>457</v>
      </c>
      <c r="K28" s="60"/>
      <c r="L28" s="64"/>
      <c r="M28" s="63"/>
      <c r="N28" s="64"/>
      <c r="O28" s="64"/>
      <c r="P28" s="64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59">
        <f t="shared" si="1"/>
        <v>45959</v>
      </c>
      <c r="AD28" s="57"/>
      <c r="AE28" s="59">
        <v>45959</v>
      </c>
      <c r="AF28" s="60"/>
      <c r="AG28" s="60"/>
      <c r="AH28" s="57"/>
      <c r="AI28" s="34"/>
      <c r="AJ28" s="34"/>
    </row>
    <row r="29" spans="1:36" s="2" customFormat="1" ht="16.5" x14ac:dyDescent="0.3">
      <c r="A29" s="27">
        <v>45950</v>
      </c>
      <c r="B29" s="27">
        <v>45945</v>
      </c>
      <c r="C29" s="21" t="s">
        <v>49</v>
      </c>
      <c r="D29" s="57" t="s">
        <v>93</v>
      </c>
      <c r="E29" s="58" t="s">
        <v>112</v>
      </c>
      <c r="F29" s="57" t="s">
        <v>457</v>
      </c>
      <c r="G29" s="57" t="s">
        <v>457</v>
      </c>
      <c r="H29" s="57" t="s">
        <v>457</v>
      </c>
      <c r="I29" s="57" t="s">
        <v>457</v>
      </c>
      <c r="J29" s="57" t="s">
        <v>457</v>
      </c>
      <c r="K29" s="60"/>
      <c r="L29" s="64"/>
      <c r="M29" s="63"/>
      <c r="N29" s="64"/>
      <c r="O29" s="64"/>
      <c r="P29" s="64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59">
        <f t="shared" si="1"/>
        <v>45959</v>
      </c>
      <c r="AD29" s="57"/>
      <c r="AE29" s="59">
        <v>45959</v>
      </c>
      <c r="AF29" s="60"/>
      <c r="AG29" s="60"/>
      <c r="AH29" s="57"/>
      <c r="AI29" s="34"/>
      <c r="AJ29" s="34"/>
    </row>
    <row r="30" spans="1:36" s="2" customFormat="1" ht="16.5" x14ac:dyDescent="0.3">
      <c r="A30" s="27">
        <v>45950</v>
      </c>
      <c r="B30" s="27">
        <v>45945</v>
      </c>
      <c r="C30" s="21" t="s">
        <v>49</v>
      </c>
      <c r="D30" s="57" t="s">
        <v>113</v>
      </c>
      <c r="E30" s="58" t="s">
        <v>114</v>
      </c>
      <c r="F30" s="57" t="s">
        <v>457</v>
      </c>
      <c r="G30" s="57" t="s">
        <v>457</v>
      </c>
      <c r="H30" s="57" t="s">
        <v>457</v>
      </c>
      <c r="I30" s="57" t="s">
        <v>457</v>
      </c>
      <c r="J30" s="57" t="s">
        <v>457</v>
      </c>
      <c r="K30" s="57" t="s">
        <v>140</v>
      </c>
      <c r="L30" s="61" t="s">
        <v>140</v>
      </c>
      <c r="M30" s="62" t="s">
        <v>140</v>
      </c>
      <c r="N30" s="61" t="s">
        <v>140</v>
      </c>
      <c r="O30" s="61" t="s">
        <v>140</v>
      </c>
      <c r="P30" s="61" t="s">
        <v>140</v>
      </c>
      <c r="Q30" s="57" t="s">
        <v>140</v>
      </c>
      <c r="R30" s="57" t="s">
        <v>140</v>
      </c>
      <c r="S30" s="60"/>
      <c r="T30" s="60"/>
      <c r="U30" s="60"/>
      <c r="V30" s="60"/>
      <c r="W30" s="57" t="s">
        <v>140</v>
      </c>
      <c r="X30" s="60"/>
      <c r="Y30" s="60"/>
      <c r="Z30" s="60"/>
      <c r="AA30" s="60"/>
      <c r="AB30" s="60"/>
      <c r="AC30" s="59">
        <f t="shared" ref="AC30" si="2">B30+14</f>
        <v>45959</v>
      </c>
      <c r="AD30" s="57"/>
      <c r="AE30" s="59">
        <v>45959</v>
      </c>
      <c r="AF30" s="59">
        <v>45959</v>
      </c>
      <c r="AG30" s="60"/>
      <c r="AH30" s="57"/>
      <c r="AI30" s="34"/>
      <c r="AJ30" s="34"/>
    </row>
    <row r="31" spans="1:36" s="2" customFormat="1" ht="16.5" x14ac:dyDescent="0.3">
      <c r="A31" s="27">
        <v>45950</v>
      </c>
      <c r="B31" s="27">
        <v>45945</v>
      </c>
      <c r="C31" s="21" t="s">
        <v>49</v>
      </c>
      <c r="D31" s="57" t="s">
        <v>71</v>
      </c>
      <c r="E31" s="58" t="s">
        <v>115</v>
      </c>
      <c r="F31" s="57" t="s">
        <v>457</v>
      </c>
      <c r="G31" s="57" t="s">
        <v>457</v>
      </c>
      <c r="H31" s="57" t="s">
        <v>457</v>
      </c>
      <c r="I31" s="57" t="s">
        <v>457</v>
      </c>
      <c r="J31" s="57" t="s">
        <v>457</v>
      </c>
      <c r="K31" s="60"/>
      <c r="L31" s="64"/>
      <c r="M31" s="63"/>
      <c r="N31" s="64"/>
      <c r="O31" s="64"/>
      <c r="P31" s="64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59">
        <f t="shared" si="1"/>
        <v>45959</v>
      </c>
      <c r="AD31" s="57"/>
      <c r="AE31" s="59">
        <v>45959</v>
      </c>
      <c r="AF31" s="60"/>
      <c r="AG31" s="60"/>
      <c r="AH31" s="57"/>
      <c r="AI31" s="34"/>
      <c r="AJ31" s="34"/>
    </row>
    <row r="32" spans="1:36" s="2" customFormat="1" ht="16.5" x14ac:dyDescent="0.3">
      <c r="A32" s="27">
        <v>45950</v>
      </c>
      <c r="B32" s="27">
        <v>45945</v>
      </c>
      <c r="C32" s="21" t="s">
        <v>49</v>
      </c>
      <c r="D32" s="57" t="s">
        <v>72</v>
      </c>
      <c r="E32" s="58" t="s">
        <v>116</v>
      </c>
      <c r="F32" s="57" t="s">
        <v>457</v>
      </c>
      <c r="G32" s="57" t="s">
        <v>457</v>
      </c>
      <c r="H32" s="57" t="s">
        <v>457</v>
      </c>
      <c r="I32" s="57" t="s">
        <v>457</v>
      </c>
      <c r="J32" s="57" t="s">
        <v>457</v>
      </c>
      <c r="K32" s="60"/>
      <c r="L32" s="64"/>
      <c r="M32" s="63"/>
      <c r="N32" s="64"/>
      <c r="O32" s="64"/>
      <c r="P32" s="64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59">
        <f t="shared" si="1"/>
        <v>45959</v>
      </c>
      <c r="AD32" s="57"/>
      <c r="AE32" s="59">
        <v>45959</v>
      </c>
      <c r="AF32" s="60"/>
      <c r="AG32" s="60"/>
      <c r="AH32" s="57"/>
      <c r="AI32" s="34"/>
      <c r="AJ32" s="34"/>
    </row>
    <row r="33" spans="1:36" s="2" customFormat="1" ht="16.5" x14ac:dyDescent="0.3">
      <c r="A33" s="27">
        <v>45950</v>
      </c>
      <c r="B33" s="27">
        <v>45945</v>
      </c>
      <c r="C33" s="21" t="s">
        <v>49</v>
      </c>
      <c r="D33" s="57" t="s">
        <v>73</v>
      </c>
      <c r="E33" s="58" t="s">
        <v>117</v>
      </c>
      <c r="F33" s="57" t="s">
        <v>457</v>
      </c>
      <c r="G33" s="57" t="s">
        <v>457</v>
      </c>
      <c r="H33" s="57" t="s">
        <v>457</v>
      </c>
      <c r="I33" s="57" t="s">
        <v>457</v>
      </c>
      <c r="J33" s="57" t="s">
        <v>457</v>
      </c>
      <c r="K33" s="60"/>
      <c r="L33" s="64"/>
      <c r="M33" s="63"/>
      <c r="N33" s="64"/>
      <c r="O33" s="64"/>
      <c r="P33" s="64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59">
        <f t="shared" si="1"/>
        <v>45959</v>
      </c>
      <c r="AD33" s="57"/>
      <c r="AE33" s="59">
        <v>45959</v>
      </c>
      <c r="AF33" s="60"/>
      <c r="AG33" s="60"/>
      <c r="AH33" s="57"/>
      <c r="AI33" s="34"/>
      <c r="AJ33" s="34"/>
    </row>
    <row r="34" spans="1:36" s="2" customFormat="1" ht="16.5" x14ac:dyDescent="0.3">
      <c r="A34" s="27">
        <v>45950</v>
      </c>
      <c r="B34" s="27">
        <v>45945</v>
      </c>
      <c r="C34" s="21" t="s">
        <v>49</v>
      </c>
      <c r="D34" s="57" t="s">
        <v>74</v>
      </c>
      <c r="E34" s="58" t="s">
        <v>118</v>
      </c>
      <c r="F34" s="57" t="s">
        <v>457</v>
      </c>
      <c r="G34" s="57" t="s">
        <v>457</v>
      </c>
      <c r="H34" s="57" t="s">
        <v>457</v>
      </c>
      <c r="I34" s="57" t="s">
        <v>457</v>
      </c>
      <c r="J34" s="57" t="s">
        <v>457</v>
      </c>
      <c r="K34" s="60"/>
      <c r="L34" s="64"/>
      <c r="M34" s="63"/>
      <c r="N34" s="64"/>
      <c r="O34" s="64"/>
      <c r="P34" s="64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59">
        <f t="shared" si="1"/>
        <v>45959</v>
      </c>
      <c r="AD34" s="57"/>
      <c r="AE34" s="59">
        <v>45959</v>
      </c>
      <c r="AF34" s="60"/>
      <c r="AG34" s="60"/>
      <c r="AH34" s="57"/>
      <c r="AI34" s="34"/>
      <c r="AJ34" s="34"/>
    </row>
    <row r="35" spans="1:36" s="2" customFormat="1" ht="16.5" x14ac:dyDescent="0.3">
      <c r="A35" s="27">
        <v>45950</v>
      </c>
      <c r="B35" s="27">
        <v>45945</v>
      </c>
      <c r="C35" s="21" t="s">
        <v>49</v>
      </c>
      <c r="D35" s="57" t="s">
        <v>75</v>
      </c>
      <c r="E35" s="58" t="s">
        <v>119</v>
      </c>
      <c r="F35" s="57" t="s">
        <v>457</v>
      </c>
      <c r="G35" s="57" t="s">
        <v>457</v>
      </c>
      <c r="H35" s="57" t="s">
        <v>457</v>
      </c>
      <c r="I35" s="57" t="s">
        <v>457</v>
      </c>
      <c r="J35" s="57" t="s">
        <v>457</v>
      </c>
      <c r="K35" s="60"/>
      <c r="L35" s="64"/>
      <c r="M35" s="63"/>
      <c r="N35" s="64"/>
      <c r="O35" s="64"/>
      <c r="P35" s="64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59">
        <f t="shared" si="1"/>
        <v>45959</v>
      </c>
      <c r="AD35" s="57"/>
      <c r="AE35" s="59">
        <v>45959</v>
      </c>
      <c r="AF35" s="60"/>
      <c r="AG35" s="60"/>
      <c r="AH35" s="57"/>
      <c r="AI35" s="34"/>
      <c r="AJ35" s="34"/>
    </row>
    <row r="36" spans="1:36" s="2" customFormat="1" ht="16.5" x14ac:dyDescent="0.3">
      <c r="A36" s="27">
        <v>45950</v>
      </c>
      <c r="B36" s="27">
        <v>45945</v>
      </c>
      <c r="C36" s="21" t="s">
        <v>49</v>
      </c>
      <c r="D36" s="57" t="s">
        <v>76</v>
      </c>
      <c r="E36" s="58" t="s">
        <v>120</v>
      </c>
      <c r="F36" s="60"/>
      <c r="G36" s="60"/>
      <c r="H36" s="60"/>
      <c r="I36" s="60"/>
      <c r="J36" s="60"/>
      <c r="K36" s="60"/>
      <c r="L36" s="64"/>
      <c r="M36" s="63"/>
      <c r="N36" s="64"/>
      <c r="O36" s="64"/>
      <c r="P36" s="64"/>
      <c r="Q36" s="60"/>
      <c r="R36" s="60"/>
      <c r="S36" s="60"/>
      <c r="T36" s="60"/>
      <c r="U36" s="60"/>
      <c r="V36" s="60"/>
      <c r="W36" s="57" t="s">
        <v>140</v>
      </c>
      <c r="X36" s="60"/>
      <c r="Y36" s="60"/>
      <c r="Z36" s="60"/>
      <c r="AA36" s="60"/>
      <c r="AB36" s="60"/>
      <c r="AC36" s="59">
        <f t="shared" si="1"/>
        <v>45959</v>
      </c>
      <c r="AD36" s="57"/>
      <c r="AE36" s="59">
        <v>45959</v>
      </c>
      <c r="AF36" s="60"/>
      <c r="AG36" s="60"/>
      <c r="AH36" s="57"/>
      <c r="AI36" s="34"/>
      <c r="AJ36" s="34"/>
    </row>
    <row r="37" spans="1:36" s="2" customFormat="1" ht="16.5" x14ac:dyDescent="0.3">
      <c r="A37" s="27">
        <v>45950</v>
      </c>
      <c r="B37" s="27">
        <v>45945</v>
      </c>
      <c r="C37" s="21" t="s">
        <v>49</v>
      </c>
      <c r="D37" s="57" t="s">
        <v>77</v>
      </c>
      <c r="E37" s="58" t="s">
        <v>121</v>
      </c>
      <c r="F37" s="57" t="s">
        <v>457</v>
      </c>
      <c r="G37" s="57" t="s">
        <v>457</v>
      </c>
      <c r="H37" s="57" t="s">
        <v>457</v>
      </c>
      <c r="I37" s="57" t="s">
        <v>457</v>
      </c>
      <c r="J37" s="57" t="s">
        <v>457</v>
      </c>
      <c r="K37" s="60"/>
      <c r="L37" s="64"/>
      <c r="M37" s="63"/>
      <c r="N37" s="64"/>
      <c r="O37" s="64"/>
      <c r="P37" s="64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59">
        <f t="shared" si="1"/>
        <v>45959</v>
      </c>
      <c r="AD37" s="57"/>
      <c r="AE37" s="59">
        <v>45959</v>
      </c>
      <c r="AF37" s="60"/>
      <c r="AG37" s="60"/>
      <c r="AH37" s="57"/>
      <c r="AI37" s="34"/>
      <c r="AJ37" s="34"/>
    </row>
    <row r="38" spans="1:36" s="2" customFormat="1" ht="16.5" x14ac:dyDescent="0.3">
      <c r="A38" s="27">
        <v>45950</v>
      </c>
      <c r="B38" s="27">
        <v>45945</v>
      </c>
      <c r="C38" s="21" t="s">
        <v>49</v>
      </c>
      <c r="D38" s="57" t="s">
        <v>78</v>
      </c>
      <c r="E38" s="58" t="s">
        <v>122</v>
      </c>
      <c r="F38" s="57" t="s">
        <v>457</v>
      </c>
      <c r="G38" s="57" t="s">
        <v>457</v>
      </c>
      <c r="H38" s="57" t="s">
        <v>457</v>
      </c>
      <c r="I38" s="57" t="s">
        <v>457</v>
      </c>
      <c r="J38" s="57" t="s">
        <v>457</v>
      </c>
      <c r="K38" s="60"/>
      <c r="L38" s="64"/>
      <c r="M38" s="63"/>
      <c r="N38" s="64"/>
      <c r="O38" s="64"/>
      <c r="P38" s="64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59">
        <f t="shared" si="1"/>
        <v>45959</v>
      </c>
      <c r="AD38" s="57"/>
      <c r="AE38" s="59">
        <v>45959</v>
      </c>
      <c r="AF38" s="60"/>
      <c r="AG38" s="60"/>
      <c r="AH38" s="57"/>
      <c r="AI38" s="34"/>
      <c r="AJ38" s="34"/>
    </row>
    <row r="39" spans="1:36" s="2" customFormat="1" ht="16.5" x14ac:dyDescent="0.3">
      <c r="A39" s="27">
        <v>45950</v>
      </c>
      <c r="B39" s="27">
        <v>45945</v>
      </c>
      <c r="C39" s="21" t="s">
        <v>49</v>
      </c>
      <c r="D39" s="57" t="s">
        <v>79</v>
      </c>
      <c r="E39" s="58" t="s">
        <v>123</v>
      </c>
      <c r="F39" s="57" t="s">
        <v>457</v>
      </c>
      <c r="G39" s="57" t="s">
        <v>457</v>
      </c>
      <c r="H39" s="57" t="s">
        <v>457</v>
      </c>
      <c r="I39" s="57" t="s">
        <v>457</v>
      </c>
      <c r="J39" s="57" t="s">
        <v>457</v>
      </c>
      <c r="K39" s="60"/>
      <c r="L39" s="64"/>
      <c r="M39" s="63"/>
      <c r="N39" s="64"/>
      <c r="O39" s="64"/>
      <c r="P39" s="64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59">
        <f t="shared" si="1"/>
        <v>45959</v>
      </c>
      <c r="AD39" s="57"/>
      <c r="AE39" s="59">
        <v>45959</v>
      </c>
      <c r="AF39" s="60"/>
      <c r="AG39" s="60"/>
      <c r="AH39" s="57"/>
      <c r="AI39" s="34"/>
      <c r="AJ39" s="34"/>
    </row>
    <row r="40" spans="1:36" s="2" customFormat="1" ht="16.5" x14ac:dyDescent="0.3">
      <c r="A40" s="27">
        <v>45950</v>
      </c>
      <c r="B40" s="27">
        <v>45945</v>
      </c>
      <c r="C40" s="21" t="s">
        <v>49</v>
      </c>
      <c r="D40" s="57" t="s">
        <v>80</v>
      </c>
      <c r="E40" s="58" t="s">
        <v>124</v>
      </c>
      <c r="F40" s="57" t="s">
        <v>457</v>
      </c>
      <c r="G40" s="57" t="s">
        <v>457</v>
      </c>
      <c r="H40" s="57" t="s">
        <v>457</v>
      </c>
      <c r="I40" s="57" t="s">
        <v>457</v>
      </c>
      <c r="J40" s="57" t="s">
        <v>457</v>
      </c>
      <c r="K40" s="60"/>
      <c r="L40" s="64"/>
      <c r="M40" s="63"/>
      <c r="N40" s="64"/>
      <c r="O40" s="64"/>
      <c r="P40" s="64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59">
        <f t="shared" si="1"/>
        <v>45959</v>
      </c>
      <c r="AD40" s="57"/>
      <c r="AE40" s="59">
        <v>45959</v>
      </c>
      <c r="AF40" s="60"/>
      <c r="AG40" s="60"/>
      <c r="AH40" s="57"/>
      <c r="AI40" s="34"/>
      <c r="AJ40" s="34"/>
    </row>
    <row r="41" spans="1:36" s="2" customFormat="1" ht="16.5" x14ac:dyDescent="0.3">
      <c r="A41" s="27">
        <v>45950</v>
      </c>
      <c r="B41" s="27">
        <v>45945</v>
      </c>
      <c r="C41" s="21" t="s">
        <v>49</v>
      </c>
      <c r="D41" s="57" t="s">
        <v>81</v>
      </c>
      <c r="E41" s="58" t="s">
        <v>125</v>
      </c>
      <c r="F41" s="57" t="s">
        <v>457</v>
      </c>
      <c r="G41" s="57" t="s">
        <v>457</v>
      </c>
      <c r="H41" s="57" t="s">
        <v>457</v>
      </c>
      <c r="I41" s="57" t="s">
        <v>457</v>
      </c>
      <c r="J41" s="57" t="s">
        <v>457</v>
      </c>
      <c r="K41" s="60"/>
      <c r="L41" s="64"/>
      <c r="M41" s="63"/>
      <c r="N41" s="64"/>
      <c r="O41" s="64"/>
      <c r="P41" s="64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59">
        <f t="shared" si="1"/>
        <v>45959</v>
      </c>
      <c r="AD41" s="57"/>
      <c r="AE41" s="59">
        <v>45959</v>
      </c>
      <c r="AF41" s="60"/>
      <c r="AG41" s="60"/>
      <c r="AH41" s="57"/>
      <c r="AI41" s="34"/>
      <c r="AJ41" s="34"/>
    </row>
    <row r="42" spans="1:36" s="2" customFormat="1" ht="16.5" x14ac:dyDescent="0.3">
      <c r="A42" s="27">
        <v>45950</v>
      </c>
      <c r="B42" s="27">
        <v>45945</v>
      </c>
      <c r="C42" s="21" t="s">
        <v>49</v>
      </c>
      <c r="D42" s="57" t="s">
        <v>82</v>
      </c>
      <c r="E42" s="58" t="s">
        <v>126</v>
      </c>
      <c r="F42" s="57" t="s">
        <v>457</v>
      </c>
      <c r="G42" s="57" t="s">
        <v>457</v>
      </c>
      <c r="H42" s="57" t="s">
        <v>457</v>
      </c>
      <c r="I42" s="57" t="s">
        <v>457</v>
      </c>
      <c r="J42" s="57" t="s">
        <v>457</v>
      </c>
      <c r="K42" s="60"/>
      <c r="L42" s="64"/>
      <c r="M42" s="63"/>
      <c r="N42" s="64"/>
      <c r="O42" s="64"/>
      <c r="P42" s="64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59">
        <f t="shared" si="1"/>
        <v>45959</v>
      </c>
      <c r="AD42" s="57"/>
      <c r="AE42" s="59">
        <v>45959</v>
      </c>
      <c r="AF42" s="60"/>
      <c r="AG42" s="60"/>
      <c r="AH42" s="57"/>
      <c r="AI42" s="34"/>
      <c r="AJ42" s="34"/>
    </row>
    <row r="43" spans="1:36" s="2" customFormat="1" ht="16.5" x14ac:dyDescent="0.3">
      <c r="A43" s="27">
        <v>45950</v>
      </c>
      <c r="B43" s="27">
        <v>45945</v>
      </c>
      <c r="C43" s="21" t="s">
        <v>49</v>
      </c>
      <c r="D43" s="57" t="s">
        <v>83</v>
      </c>
      <c r="E43" s="58" t="s">
        <v>127</v>
      </c>
      <c r="F43" s="57" t="s">
        <v>457</v>
      </c>
      <c r="G43" s="57" t="s">
        <v>457</v>
      </c>
      <c r="H43" s="57" t="s">
        <v>457</v>
      </c>
      <c r="I43" s="57" t="s">
        <v>457</v>
      </c>
      <c r="J43" s="57" t="s">
        <v>457</v>
      </c>
      <c r="K43" s="60"/>
      <c r="L43" s="64"/>
      <c r="M43" s="63"/>
      <c r="N43" s="64"/>
      <c r="O43" s="64"/>
      <c r="P43" s="64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59">
        <f t="shared" si="1"/>
        <v>45959</v>
      </c>
      <c r="AD43" s="57"/>
      <c r="AE43" s="59">
        <v>45959</v>
      </c>
      <c r="AF43" s="60"/>
      <c r="AG43" s="60"/>
      <c r="AH43" s="57"/>
      <c r="AI43" s="34"/>
      <c r="AJ43" s="34"/>
    </row>
    <row r="44" spans="1:36" s="2" customFormat="1" ht="16.5" x14ac:dyDescent="0.3">
      <c r="A44" s="27">
        <v>45950</v>
      </c>
      <c r="B44" s="27">
        <v>45945</v>
      </c>
      <c r="C44" s="21" t="s">
        <v>49</v>
      </c>
      <c r="D44" s="57" t="s">
        <v>84</v>
      </c>
      <c r="E44" s="58" t="s">
        <v>128</v>
      </c>
      <c r="F44" s="57" t="s">
        <v>457</v>
      </c>
      <c r="G44" s="57" t="s">
        <v>457</v>
      </c>
      <c r="H44" s="57" t="s">
        <v>457</v>
      </c>
      <c r="I44" s="57" t="s">
        <v>457</v>
      </c>
      <c r="J44" s="57" t="s">
        <v>457</v>
      </c>
      <c r="K44" s="60"/>
      <c r="L44" s="64"/>
      <c r="M44" s="63"/>
      <c r="N44" s="64"/>
      <c r="O44" s="64"/>
      <c r="P44" s="64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59">
        <f t="shared" si="1"/>
        <v>45959</v>
      </c>
      <c r="AD44" s="57"/>
      <c r="AE44" s="59">
        <v>45959</v>
      </c>
      <c r="AF44" s="60"/>
      <c r="AG44" s="60"/>
      <c r="AH44" s="57"/>
      <c r="AI44" s="34"/>
      <c r="AJ44" s="34"/>
    </row>
    <row r="45" spans="1:36" s="2" customFormat="1" ht="16.5" x14ac:dyDescent="0.3">
      <c r="A45" s="27">
        <v>45950</v>
      </c>
      <c r="B45" s="27">
        <v>45945</v>
      </c>
      <c r="C45" s="21" t="s">
        <v>49</v>
      </c>
      <c r="D45" s="57" t="s">
        <v>85</v>
      </c>
      <c r="E45" s="58" t="s">
        <v>129</v>
      </c>
      <c r="F45" s="60"/>
      <c r="G45" s="60"/>
      <c r="H45" s="60"/>
      <c r="I45" s="60"/>
      <c r="J45" s="60"/>
      <c r="K45" s="57" t="s">
        <v>140</v>
      </c>
      <c r="L45" s="61">
        <v>21.5</v>
      </c>
      <c r="M45" s="62">
        <v>3.37</v>
      </c>
      <c r="N45" s="61">
        <v>36.299999999999997</v>
      </c>
      <c r="O45" s="61">
        <v>22</v>
      </c>
      <c r="P45" s="61">
        <v>131.5</v>
      </c>
      <c r="Q45" s="57" t="s">
        <v>140</v>
      </c>
      <c r="R45" s="57" t="s">
        <v>140</v>
      </c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59">
        <f t="shared" si="1"/>
        <v>45959</v>
      </c>
      <c r="AD45" s="57"/>
      <c r="AE45" s="60"/>
      <c r="AF45" s="59">
        <v>45959</v>
      </c>
      <c r="AG45" s="60"/>
      <c r="AH45" s="57"/>
      <c r="AI45" s="34"/>
      <c r="AJ45" s="34"/>
    </row>
    <row r="46" spans="1:36" s="2" customFormat="1" ht="16.5" x14ac:dyDescent="0.3">
      <c r="A46" s="27">
        <v>45950</v>
      </c>
      <c r="B46" s="27">
        <v>45945</v>
      </c>
      <c r="C46" s="21" t="s">
        <v>49</v>
      </c>
      <c r="D46" s="57" t="s">
        <v>86</v>
      </c>
      <c r="E46" s="58" t="s">
        <v>130</v>
      </c>
      <c r="F46" s="60"/>
      <c r="G46" s="60"/>
      <c r="H46" s="60"/>
      <c r="I46" s="60"/>
      <c r="J46" s="60"/>
      <c r="K46" s="57" t="s">
        <v>140</v>
      </c>
      <c r="L46" s="61">
        <v>22.1</v>
      </c>
      <c r="M46" s="62">
        <v>3.97</v>
      </c>
      <c r="N46" s="61">
        <v>181.7</v>
      </c>
      <c r="O46" s="61">
        <v>22.5</v>
      </c>
      <c r="P46" s="61">
        <v>54</v>
      </c>
      <c r="Q46" s="57" t="s">
        <v>140</v>
      </c>
      <c r="R46" s="57" t="s">
        <v>140</v>
      </c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59">
        <f t="shared" si="1"/>
        <v>45959</v>
      </c>
      <c r="AD46" s="57"/>
      <c r="AE46" s="60"/>
      <c r="AF46" s="59">
        <v>45959</v>
      </c>
      <c r="AG46" s="60"/>
      <c r="AH46" s="57"/>
      <c r="AI46" s="34"/>
      <c r="AJ46" s="34"/>
    </row>
    <row r="47" spans="1:36" s="2" customFormat="1" ht="16.5" x14ac:dyDescent="0.3">
      <c r="A47" s="27">
        <v>45950</v>
      </c>
      <c r="B47" s="27">
        <v>45945</v>
      </c>
      <c r="C47" s="21" t="s">
        <v>49</v>
      </c>
      <c r="D47" s="57" t="s">
        <v>87</v>
      </c>
      <c r="E47" s="58" t="s">
        <v>131</v>
      </c>
      <c r="F47" s="60"/>
      <c r="G47" s="60"/>
      <c r="H47" s="60"/>
      <c r="I47" s="60"/>
      <c r="J47" s="60"/>
      <c r="K47" s="57" t="s">
        <v>140</v>
      </c>
      <c r="L47" s="61">
        <v>25.8</v>
      </c>
      <c r="M47" s="62" t="s">
        <v>140</v>
      </c>
      <c r="N47" s="61">
        <v>124.1</v>
      </c>
      <c r="O47" s="61">
        <v>25</v>
      </c>
      <c r="P47" s="61">
        <v>44.6</v>
      </c>
      <c r="Q47" s="57" t="s">
        <v>140</v>
      </c>
      <c r="R47" s="57" t="s">
        <v>140</v>
      </c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59">
        <f t="shared" si="1"/>
        <v>45959</v>
      </c>
      <c r="AD47" s="57"/>
      <c r="AE47" s="60"/>
      <c r="AF47" s="59">
        <v>45959</v>
      </c>
      <c r="AG47" s="60"/>
      <c r="AH47" s="57"/>
      <c r="AI47" s="34"/>
      <c r="AJ47" s="34"/>
    </row>
    <row r="48" spans="1:36" s="2" customFormat="1" ht="16.5" x14ac:dyDescent="0.3">
      <c r="A48" s="27">
        <v>45950</v>
      </c>
      <c r="B48" s="27">
        <v>45945</v>
      </c>
      <c r="C48" s="21" t="s">
        <v>49</v>
      </c>
      <c r="D48" s="57" t="s">
        <v>88</v>
      </c>
      <c r="E48" s="58" t="s">
        <v>132</v>
      </c>
      <c r="F48" s="60"/>
      <c r="G48" s="60"/>
      <c r="H48" s="60"/>
      <c r="I48" s="60"/>
      <c r="J48" s="60"/>
      <c r="K48" s="57" t="s">
        <v>140</v>
      </c>
      <c r="L48" s="61">
        <v>43</v>
      </c>
      <c r="M48" s="62">
        <v>7.04</v>
      </c>
      <c r="N48" s="61">
        <v>210.2</v>
      </c>
      <c r="O48" s="61">
        <v>23.9</v>
      </c>
      <c r="P48" s="61">
        <v>50.7</v>
      </c>
      <c r="Q48" s="57" t="s">
        <v>140</v>
      </c>
      <c r="R48" s="57" t="s">
        <v>140</v>
      </c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59">
        <f t="shared" si="1"/>
        <v>45959</v>
      </c>
      <c r="AD48" s="57"/>
      <c r="AE48" s="60"/>
      <c r="AF48" s="59">
        <v>45959</v>
      </c>
      <c r="AG48" s="60"/>
      <c r="AH48" s="57"/>
      <c r="AI48" s="34"/>
      <c r="AJ48" s="34"/>
    </row>
    <row r="49" spans="1:36" s="2" customFormat="1" ht="16.5" x14ac:dyDescent="0.3">
      <c r="A49" s="27">
        <v>45950</v>
      </c>
      <c r="B49" s="27">
        <v>45945</v>
      </c>
      <c r="C49" s="21" t="s">
        <v>49</v>
      </c>
      <c r="D49" s="57" t="s">
        <v>89</v>
      </c>
      <c r="E49" s="58" t="s">
        <v>133</v>
      </c>
      <c r="F49" s="60"/>
      <c r="G49" s="60"/>
      <c r="H49" s="60"/>
      <c r="I49" s="60"/>
      <c r="J49" s="60"/>
      <c r="K49" s="57" t="s">
        <v>140</v>
      </c>
      <c r="L49" s="61">
        <v>14.8</v>
      </c>
      <c r="M49" s="62" t="s">
        <v>140</v>
      </c>
      <c r="N49" s="61">
        <v>23</v>
      </c>
      <c r="O49" s="61">
        <v>16.8</v>
      </c>
      <c r="P49" s="61">
        <v>33.9</v>
      </c>
      <c r="Q49" s="57" t="s">
        <v>140</v>
      </c>
      <c r="R49" s="57" t="s">
        <v>140</v>
      </c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59">
        <f t="shared" si="1"/>
        <v>45959</v>
      </c>
      <c r="AD49" s="57"/>
      <c r="AE49" s="60"/>
      <c r="AF49" s="59">
        <v>45959</v>
      </c>
      <c r="AG49" s="60"/>
      <c r="AH49" s="57"/>
      <c r="AI49" s="34"/>
      <c r="AJ49" s="34"/>
    </row>
    <row r="50" spans="1:36" s="2" customFormat="1" ht="16.5" x14ac:dyDescent="0.3">
      <c r="A50" s="27">
        <v>45950</v>
      </c>
      <c r="B50" s="27">
        <v>45945</v>
      </c>
      <c r="C50" s="21" t="s">
        <v>49</v>
      </c>
      <c r="D50" s="57" t="s">
        <v>90</v>
      </c>
      <c r="E50" s="58" t="s">
        <v>134</v>
      </c>
      <c r="F50" s="60"/>
      <c r="G50" s="60"/>
      <c r="H50" s="60"/>
      <c r="I50" s="60"/>
      <c r="J50" s="60"/>
      <c r="K50" s="57" t="s">
        <v>140</v>
      </c>
      <c r="L50" s="61">
        <v>17.5</v>
      </c>
      <c r="M50" s="62" t="s">
        <v>140</v>
      </c>
      <c r="N50" s="61">
        <v>52.4</v>
      </c>
      <c r="O50" s="61">
        <v>17.3</v>
      </c>
      <c r="P50" s="61">
        <v>44.7</v>
      </c>
      <c r="Q50" s="57" t="s">
        <v>140</v>
      </c>
      <c r="R50" s="57" t="s">
        <v>140</v>
      </c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59">
        <f t="shared" si="1"/>
        <v>45959</v>
      </c>
      <c r="AD50" s="57"/>
      <c r="AE50" s="60"/>
      <c r="AF50" s="59">
        <v>45959</v>
      </c>
      <c r="AG50" s="60"/>
      <c r="AH50" s="57"/>
      <c r="AI50" s="34"/>
      <c r="AJ50" s="34"/>
    </row>
    <row r="51" spans="1:36" s="2" customFormat="1" ht="16.5" x14ac:dyDescent="0.3">
      <c r="A51" s="27">
        <v>45950</v>
      </c>
      <c r="B51" s="27">
        <v>45945</v>
      </c>
      <c r="C51" s="21" t="s">
        <v>49</v>
      </c>
      <c r="D51" s="57" t="s">
        <v>137</v>
      </c>
      <c r="E51" s="58" t="s">
        <v>136</v>
      </c>
      <c r="F51" s="60"/>
      <c r="G51" s="60"/>
      <c r="H51" s="60"/>
      <c r="I51" s="60"/>
      <c r="J51" s="60"/>
      <c r="K51" s="57" t="s">
        <v>140</v>
      </c>
      <c r="L51" s="61">
        <v>17.100000000000001</v>
      </c>
      <c r="M51" s="62" t="s">
        <v>140</v>
      </c>
      <c r="N51" s="61">
        <v>45.2</v>
      </c>
      <c r="O51" s="61">
        <v>18.3</v>
      </c>
      <c r="P51" s="61">
        <v>47.5</v>
      </c>
      <c r="Q51" s="57" t="s">
        <v>140</v>
      </c>
      <c r="R51" s="57" t="s">
        <v>140</v>
      </c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59">
        <f t="shared" si="1"/>
        <v>45959</v>
      </c>
      <c r="AD51" s="57"/>
      <c r="AE51" s="60"/>
      <c r="AF51" s="59">
        <v>45959</v>
      </c>
      <c r="AG51" s="60"/>
      <c r="AH51" s="57"/>
      <c r="AI51" s="34"/>
      <c r="AJ51" s="34"/>
    </row>
    <row r="52" spans="1:36" s="2" customFormat="1" ht="16.5" x14ac:dyDescent="0.3">
      <c r="A52" s="27">
        <v>45950</v>
      </c>
      <c r="B52" s="27">
        <v>45945</v>
      </c>
      <c r="C52" s="21" t="s">
        <v>49</v>
      </c>
      <c r="D52" s="57" t="s">
        <v>91</v>
      </c>
      <c r="E52" s="58" t="s">
        <v>135</v>
      </c>
      <c r="F52" s="60"/>
      <c r="G52" s="60"/>
      <c r="H52" s="60"/>
      <c r="I52" s="60"/>
      <c r="J52" s="60"/>
      <c r="K52" s="57" t="s">
        <v>140</v>
      </c>
      <c r="L52" s="61">
        <v>61.6</v>
      </c>
      <c r="M52" s="62">
        <v>6.98</v>
      </c>
      <c r="N52" s="61">
        <v>172</v>
      </c>
      <c r="O52" s="61">
        <v>27</v>
      </c>
      <c r="P52" s="61">
        <v>57.1</v>
      </c>
      <c r="Q52" s="57" t="s">
        <v>140</v>
      </c>
      <c r="R52" s="57" t="s">
        <v>140</v>
      </c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59">
        <f t="shared" si="1"/>
        <v>45959</v>
      </c>
      <c r="AD52" s="57"/>
      <c r="AE52" s="60"/>
      <c r="AF52" s="59">
        <v>45959</v>
      </c>
      <c r="AG52" s="60"/>
      <c r="AH52" s="57"/>
      <c r="AI52" s="34"/>
      <c r="AJ52" s="34"/>
    </row>
    <row r="53" spans="1:36" s="2" customFormat="1" ht="16.5" x14ac:dyDescent="0.3">
      <c r="A53" s="27">
        <v>45954</v>
      </c>
      <c r="B53" s="27">
        <v>45951</v>
      </c>
      <c r="C53" s="21" t="s">
        <v>49</v>
      </c>
      <c r="D53" s="57" t="s">
        <v>141</v>
      </c>
      <c r="E53" s="58" t="s">
        <v>289</v>
      </c>
      <c r="F53" s="60"/>
      <c r="G53" s="60"/>
      <c r="H53" s="60"/>
      <c r="I53" s="60"/>
      <c r="J53" s="60"/>
      <c r="K53" s="57" t="s">
        <v>140</v>
      </c>
      <c r="L53" s="61">
        <v>10</v>
      </c>
      <c r="M53" s="62">
        <v>4.47</v>
      </c>
      <c r="N53" s="61">
        <v>11.7</v>
      </c>
      <c r="O53" s="61">
        <v>18.100000000000001</v>
      </c>
      <c r="P53" s="61">
        <v>46.7</v>
      </c>
      <c r="Q53" s="57" t="s">
        <v>140</v>
      </c>
      <c r="R53" s="57">
        <v>0.8</v>
      </c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59">
        <f t="shared" ref="AC53" si="3">B53+14</f>
        <v>45965</v>
      </c>
      <c r="AD53" s="57"/>
      <c r="AE53" s="60"/>
      <c r="AF53" s="59">
        <v>45964</v>
      </c>
      <c r="AG53" s="60"/>
      <c r="AH53" s="57"/>
      <c r="AI53" s="34"/>
      <c r="AJ53" s="34"/>
    </row>
    <row r="54" spans="1:36" s="2" customFormat="1" ht="16.5" x14ac:dyDescent="0.3">
      <c r="A54" s="27">
        <v>45954</v>
      </c>
      <c r="B54" s="27">
        <v>45951</v>
      </c>
      <c r="C54" s="21" t="s">
        <v>49</v>
      </c>
      <c r="D54" s="57" t="s">
        <v>142</v>
      </c>
      <c r="E54" s="58" t="s">
        <v>290</v>
      </c>
      <c r="F54" s="60"/>
      <c r="G54" s="60"/>
      <c r="H54" s="60"/>
      <c r="I54" s="60"/>
      <c r="J54" s="60"/>
      <c r="K54" s="57" t="s">
        <v>140</v>
      </c>
      <c r="L54" s="61">
        <v>8.4</v>
      </c>
      <c r="M54" s="62">
        <v>3.16</v>
      </c>
      <c r="N54" s="61">
        <v>11</v>
      </c>
      <c r="O54" s="61">
        <v>19.399999999999999</v>
      </c>
      <c r="P54" s="61">
        <v>41.9</v>
      </c>
      <c r="Q54" s="57" t="s">
        <v>140</v>
      </c>
      <c r="R54" s="57" t="s">
        <v>140</v>
      </c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59">
        <f t="shared" ref="AC54:AC93" si="4">B54+14</f>
        <v>45965</v>
      </c>
      <c r="AD54" s="57"/>
      <c r="AE54" s="60"/>
      <c r="AF54" s="59">
        <v>45964</v>
      </c>
      <c r="AG54" s="60"/>
      <c r="AH54" s="57"/>
      <c r="AI54" s="34"/>
      <c r="AJ54" s="34"/>
    </row>
    <row r="55" spans="1:36" s="2" customFormat="1" ht="16.5" x14ac:dyDescent="0.3">
      <c r="A55" s="27">
        <v>45954</v>
      </c>
      <c r="B55" s="27">
        <v>45951</v>
      </c>
      <c r="C55" s="21" t="s">
        <v>49</v>
      </c>
      <c r="D55" s="57" t="s">
        <v>143</v>
      </c>
      <c r="E55" s="58" t="s">
        <v>291</v>
      </c>
      <c r="F55" s="60"/>
      <c r="G55" s="60"/>
      <c r="H55" s="60"/>
      <c r="I55" s="60"/>
      <c r="J55" s="60"/>
      <c r="K55" s="57" t="s">
        <v>140</v>
      </c>
      <c r="L55" s="61">
        <v>6.4</v>
      </c>
      <c r="M55" s="62">
        <v>1.55</v>
      </c>
      <c r="N55" s="61">
        <v>9.6999999999999993</v>
      </c>
      <c r="O55" s="61">
        <v>24.1</v>
      </c>
      <c r="P55" s="61">
        <v>38.5</v>
      </c>
      <c r="Q55" s="57" t="s">
        <v>140</v>
      </c>
      <c r="R55" s="57" t="s">
        <v>140</v>
      </c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59">
        <f t="shared" si="4"/>
        <v>45965</v>
      </c>
      <c r="AD55" s="57"/>
      <c r="AE55" s="60"/>
      <c r="AF55" s="59">
        <v>45964</v>
      </c>
      <c r="AG55" s="60"/>
      <c r="AH55" s="57"/>
      <c r="AI55" s="34"/>
      <c r="AJ55" s="34"/>
    </row>
    <row r="56" spans="1:36" s="2" customFormat="1" ht="16.5" x14ac:dyDescent="0.3">
      <c r="A56" s="27">
        <v>45954</v>
      </c>
      <c r="B56" s="27">
        <v>45951</v>
      </c>
      <c r="C56" s="21" t="s">
        <v>49</v>
      </c>
      <c r="D56" s="57" t="s">
        <v>144</v>
      </c>
      <c r="E56" s="58" t="s">
        <v>292</v>
      </c>
      <c r="F56" s="60"/>
      <c r="G56" s="60"/>
      <c r="H56" s="60"/>
      <c r="I56" s="60"/>
      <c r="J56" s="60"/>
      <c r="K56" s="57" t="s">
        <v>140</v>
      </c>
      <c r="L56" s="61">
        <v>6.7</v>
      </c>
      <c r="M56" s="62">
        <v>3.76</v>
      </c>
      <c r="N56" s="61">
        <v>8</v>
      </c>
      <c r="O56" s="61">
        <v>24.2</v>
      </c>
      <c r="P56" s="61">
        <v>42.6</v>
      </c>
      <c r="Q56" s="57" t="s">
        <v>140</v>
      </c>
      <c r="R56" s="57" t="s">
        <v>140</v>
      </c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59">
        <f t="shared" si="4"/>
        <v>45965</v>
      </c>
      <c r="AD56" s="57"/>
      <c r="AE56" s="60"/>
      <c r="AF56" s="59">
        <v>45964</v>
      </c>
      <c r="AG56" s="60"/>
      <c r="AH56" s="57"/>
      <c r="AI56" s="34"/>
      <c r="AJ56" s="34"/>
    </row>
    <row r="57" spans="1:36" s="2" customFormat="1" ht="16.5" x14ac:dyDescent="0.3">
      <c r="A57" s="27">
        <v>45954</v>
      </c>
      <c r="B57" s="27">
        <v>45951</v>
      </c>
      <c r="C57" s="21" t="s">
        <v>49</v>
      </c>
      <c r="D57" s="57" t="s">
        <v>145</v>
      </c>
      <c r="E57" s="58" t="s">
        <v>293</v>
      </c>
      <c r="F57" s="60"/>
      <c r="G57" s="60"/>
      <c r="H57" s="60"/>
      <c r="I57" s="60"/>
      <c r="J57" s="60"/>
      <c r="K57" s="57" t="s">
        <v>140</v>
      </c>
      <c r="L57" s="61">
        <v>8.1</v>
      </c>
      <c r="M57" s="62" t="s">
        <v>140</v>
      </c>
      <c r="N57" s="61">
        <v>10.8</v>
      </c>
      <c r="O57" s="61">
        <v>13.4</v>
      </c>
      <c r="P57" s="61">
        <v>37.200000000000003</v>
      </c>
      <c r="Q57" s="57" t="s">
        <v>140</v>
      </c>
      <c r="R57" s="57">
        <v>0.6</v>
      </c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59">
        <f t="shared" si="4"/>
        <v>45965</v>
      </c>
      <c r="AD57" s="57"/>
      <c r="AE57" s="60"/>
      <c r="AF57" s="59">
        <v>45964</v>
      </c>
      <c r="AG57" s="60"/>
      <c r="AH57" s="57"/>
      <c r="AI57" s="34"/>
      <c r="AJ57" s="34"/>
    </row>
    <row r="58" spans="1:36" s="2" customFormat="1" ht="16.5" x14ac:dyDescent="0.3">
      <c r="A58" s="27">
        <v>45954</v>
      </c>
      <c r="B58" s="27">
        <v>45951</v>
      </c>
      <c r="C58" s="21" t="s">
        <v>49</v>
      </c>
      <c r="D58" s="57" t="s">
        <v>146</v>
      </c>
      <c r="E58" s="58" t="s">
        <v>294</v>
      </c>
      <c r="F58" s="60"/>
      <c r="G58" s="60"/>
      <c r="H58" s="60"/>
      <c r="I58" s="60"/>
      <c r="J58" s="60"/>
      <c r="K58" s="57" t="s">
        <v>140</v>
      </c>
      <c r="L58" s="61">
        <v>8.6</v>
      </c>
      <c r="M58" s="62">
        <v>4.4400000000000004</v>
      </c>
      <c r="N58" s="61">
        <v>12.5</v>
      </c>
      <c r="O58" s="61">
        <v>18.600000000000001</v>
      </c>
      <c r="P58" s="61">
        <v>42.6</v>
      </c>
      <c r="Q58" s="57" t="s">
        <v>140</v>
      </c>
      <c r="R58" s="57" t="s">
        <v>140</v>
      </c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59">
        <f t="shared" si="4"/>
        <v>45965</v>
      </c>
      <c r="AD58" s="57"/>
      <c r="AE58" s="60"/>
      <c r="AF58" s="59">
        <v>45964</v>
      </c>
      <c r="AG58" s="60"/>
      <c r="AH58" s="57"/>
      <c r="AI58" s="34"/>
      <c r="AJ58" s="34"/>
    </row>
    <row r="59" spans="1:36" s="2" customFormat="1" ht="16.5" x14ac:dyDescent="0.3">
      <c r="A59" s="27">
        <v>45954</v>
      </c>
      <c r="B59" s="27">
        <v>45951</v>
      </c>
      <c r="C59" s="21" t="s">
        <v>49</v>
      </c>
      <c r="D59" s="57" t="s">
        <v>147</v>
      </c>
      <c r="E59" s="58" t="s">
        <v>295</v>
      </c>
      <c r="F59" s="60"/>
      <c r="G59" s="60"/>
      <c r="H59" s="60"/>
      <c r="I59" s="60"/>
      <c r="J59" s="60"/>
      <c r="K59" s="57" t="s">
        <v>140</v>
      </c>
      <c r="L59" s="61">
        <v>11.1</v>
      </c>
      <c r="M59" s="62">
        <v>4.54</v>
      </c>
      <c r="N59" s="61">
        <v>12.3</v>
      </c>
      <c r="O59" s="61">
        <v>15.4</v>
      </c>
      <c r="P59" s="61">
        <v>43.4</v>
      </c>
      <c r="Q59" s="57" t="s">
        <v>140</v>
      </c>
      <c r="R59" s="57" t="s">
        <v>140</v>
      </c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59">
        <f t="shared" si="4"/>
        <v>45965</v>
      </c>
      <c r="AD59" s="57"/>
      <c r="AE59" s="60"/>
      <c r="AF59" s="59">
        <v>45964</v>
      </c>
      <c r="AG59" s="60"/>
      <c r="AH59" s="57"/>
      <c r="AI59" s="34"/>
      <c r="AJ59" s="34"/>
    </row>
    <row r="60" spans="1:36" s="2" customFormat="1" ht="16.5" x14ac:dyDescent="0.3">
      <c r="A60" s="27">
        <v>45954</v>
      </c>
      <c r="B60" s="27">
        <v>45951</v>
      </c>
      <c r="C60" s="21" t="s">
        <v>49</v>
      </c>
      <c r="D60" s="57" t="s">
        <v>148</v>
      </c>
      <c r="E60" s="58" t="s">
        <v>296</v>
      </c>
      <c r="F60" s="60"/>
      <c r="G60" s="60"/>
      <c r="H60" s="60"/>
      <c r="I60" s="60"/>
      <c r="J60" s="60"/>
      <c r="K60" s="57" t="s">
        <v>140</v>
      </c>
      <c r="L60" s="61">
        <v>15.4</v>
      </c>
      <c r="M60" s="62" t="s">
        <v>140</v>
      </c>
      <c r="N60" s="61">
        <v>17.2</v>
      </c>
      <c r="O60" s="61">
        <v>14</v>
      </c>
      <c r="P60" s="61">
        <v>63.9</v>
      </c>
      <c r="Q60" s="57" t="s">
        <v>140</v>
      </c>
      <c r="R60" s="57">
        <v>0.6</v>
      </c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59">
        <f t="shared" si="4"/>
        <v>45965</v>
      </c>
      <c r="AD60" s="57"/>
      <c r="AE60" s="60"/>
      <c r="AF60" s="59">
        <v>45964</v>
      </c>
      <c r="AG60" s="60"/>
      <c r="AH60" s="57"/>
      <c r="AI60" s="34"/>
      <c r="AJ60" s="34"/>
    </row>
    <row r="61" spans="1:36" s="2" customFormat="1" ht="16.5" x14ac:dyDescent="0.3">
      <c r="A61" s="27">
        <v>45954</v>
      </c>
      <c r="B61" s="27">
        <v>45951</v>
      </c>
      <c r="C61" s="21" t="s">
        <v>49</v>
      </c>
      <c r="D61" s="57" t="s">
        <v>149</v>
      </c>
      <c r="E61" s="58" t="s">
        <v>297</v>
      </c>
      <c r="F61" s="60"/>
      <c r="G61" s="60"/>
      <c r="H61" s="60"/>
      <c r="I61" s="60"/>
      <c r="J61" s="60"/>
      <c r="K61" s="57" t="s">
        <v>140</v>
      </c>
      <c r="L61" s="61">
        <v>6.2</v>
      </c>
      <c r="M61" s="62" t="s">
        <v>140</v>
      </c>
      <c r="N61" s="61">
        <v>9.6999999999999993</v>
      </c>
      <c r="O61" s="61">
        <v>10.9</v>
      </c>
      <c r="P61" s="61">
        <v>31.8</v>
      </c>
      <c r="Q61" s="57" t="s">
        <v>140</v>
      </c>
      <c r="R61" s="57" t="s">
        <v>140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59">
        <f t="shared" si="4"/>
        <v>45965</v>
      </c>
      <c r="AD61" s="57"/>
      <c r="AE61" s="60"/>
      <c r="AF61" s="59">
        <v>45964</v>
      </c>
      <c r="AG61" s="60"/>
      <c r="AH61" s="57"/>
      <c r="AI61" s="34"/>
      <c r="AJ61" s="34"/>
    </row>
    <row r="62" spans="1:36" s="2" customFormat="1" ht="16.5" x14ac:dyDescent="0.3">
      <c r="A62" s="27">
        <v>45954</v>
      </c>
      <c r="B62" s="27">
        <v>45951</v>
      </c>
      <c r="C62" s="21" t="s">
        <v>49</v>
      </c>
      <c r="D62" s="57" t="s">
        <v>150</v>
      </c>
      <c r="E62" s="58" t="s">
        <v>298</v>
      </c>
      <c r="F62" s="60"/>
      <c r="G62" s="60"/>
      <c r="H62" s="60"/>
      <c r="I62" s="60"/>
      <c r="J62" s="60"/>
      <c r="K62" s="57" t="s">
        <v>140</v>
      </c>
      <c r="L62" s="61">
        <v>8</v>
      </c>
      <c r="M62" s="62" t="s">
        <v>140</v>
      </c>
      <c r="N62" s="61">
        <v>10.1</v>
      </c>
      <c r="O62" s="61">
        <v>15.7</v>
      </c>
      <c r="P62" s="61">
        <v>38.799999999999997</v>
      </c>
      <c r="Q62" s="57" t="s">
        <v>140</v>
      </c>
      <c r="R62" s="57">
        <v>0.6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59">
        <f t="shared" si="4"/>
        <v>45965</v>
      </c>
      <c r="AD62" s="57"/>
      <c r="AE62" s="60"/>
      <c r="AF62" s="59">
        <v>45964</v>
      </c>
      <c r="AG62" s="60"/>
      <c r="AH62" s="57"/>
      <c r="AI62" s="34"/>
      <c r="AJ62" s="34"/>
    </row>
    <row r="63" spans="1:36" s="2" customFormat="1" ht="16.5" x14ac:dyDescent="0.3">
      <c r="A63" s="27">
        <v>45954</v>
      </c>
      <c r="B63" s="27">
        <v>45951</v>
      </c>
      <c r="C63" s="21" t="s">
        <v>49</v>
      </c>
      <c r="D63" s="57" t="s">
        <v>151</v>
      </c>
      <c r="E63" s="58" t="s">
        <v>299</v>
      </c>
      <c r="F63" s="60"/>
      <c r="G63" s="60"/>
      <c r="H63" s="60"/>
      <c r="I63" s="60"/>
      <c r="J63" s="60"/>
      <c r="K63" s="57" t="s">
        <v>140</v>
      </c>
      <c r="L63" s="61">
        <v>8.4</v>
      </c>
      <c r="M63" s="62" t="s">
        <v>140</v>
      </c>
      <c r="N63" s="61">
        <v>11.3</v>
      </c>
      <c r="O63" s="61">
        <v>16.899999999999999</v>
      </c>
      <c r="P63" s="61">
        <v>45.3</v>
      </c>
      <c r="Q63" s="57" t="s">
        <v>140</v>
      </c>
      <c r="R63" s="57" t="s">
        <v>140</v>
      </c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59">
        <f t="shared" si="4"/>
        <v>45965</v>
      </c>
      <c r="AD63" s="57"/>
      <c r="AE63" s="60"/>
      <c r="AF63" s="59">
        <v>45964</v>
      </c>
      <c r="AG63" s="60"/>
      <c r="AH63" s="57"/>
      <c r="AI63" s="34"/>
      <c r="AJ63" s="34"/>
    </row>
    <row r="64" spans="1:36" s="2" customFormat="1" ht="16.5" x14ac:dyDescent="0.3">
      <c r="A64" s="27">
        <v>45954</v>
      </c>
      <c r="B64" s="27">
        <v>45951</v>
      </c>
      <c r="C64" s="21" t="s">
        <v>49</v>
      </c>
      <c r="D64" s="57" t="s">
        <v>152</v>
      </c>
      <c r="E64" s="58" t="s">
        <v>300</v>
      </c>
      <c r="F64" s="60"/>
      <c r="G64" s="60"/>
      <c r="H64" s="60"/>
      <c r="I64" s="60"/>
      <c r="J64" s="60"/>
      <c r="K64" s="57" t="s">
        <v>140</v>
      </c>
      <c r="L64" s="61">
        <v>9.6</v>
      </c>
      <c r="M64" s="62">
        <v>3.24</v>
      </c>
      <c r="N64" s="61">
        <v>12.7</v>
      </c>
      <c r="O64" s="61">
        <v>16.8</v>
      </c>
      <c r="P64" s="61">
        <v>47.5</v>
      </c>
      <c r="Q64" s="57" t="s">
        <v>140</v>
      </c>
      <c r="R64" s="57" t="s">
        <v>140</v>
      </c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59">
        <f t="shared" si="4"/>
        <v>45965</v>
      </c>
      <c r="AD64" s="57"/>
      <c r="AE64" s="60"/>
      <c r="AF64" s="59">
        <v>45964</v>
      </c>
      <c r="AG64" s="60"/>
      <c r="AH64" s="57"/>
      <c r="AI64" s="34"/>
      <c r="AJ64" s="34"/>
    </row>
    <row r="65" spans="1:36" s="2" customFormat="1" ht="16.5" x14ac:dyDescent="0.3">
      <c r="A65" s="27">
        <v>45954</v>
      </c>
      <c r="B65" s="27">
        <v>45951</v>
      </c>
      <c r="C65" s="21" t="s">
        <v>49</v>
      </c>
      <c r="D65" s="57" t="s">
        <v>153</v>
      </c>
      <c r="E65" s="58" t="s">
        <v>301</v>
      </c>
      <c r="F65" s="60"/>
      <c r="G65" s="60"/>
      <c r="H65" s="60"/>
      <c r="I65" s="60"/>
      <c r="J65" s="60"/>
      <c r="K65" s="57" t="s">
        <v>140</v>
      </c>
      <c r="L65" s="61">
        <v>9.4</v>
      </c>
      <c r="M65" s="62">
        <v>15.57</v>
      </c>
      <c r="N65" s="61">
        <v>14.9</v>
      </c>
      <c r="O65" s="61">
        <v>17.8</v>
      </c>
      <c r="P65" s="61">
        <v>51.1</v>
      </c>
      <c r="Q65" s="57" t="s">
        <v>140</v>
      </c>
      <c r="R65" s="57" t="s">
        <v>140</v>
      </c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59">
        <f t="shared" si="4"/>
        <v>45965</v>
      </c>
      <c r="AD65" s="57"/>
      <c r="AE65" s="60"/>
      <c r="AF65" s="59">
        <v>45964</v>
      </c>
      <c r="AG65" s="60"/>
      <c r="AH65" s="57"/>
      <c r="AI65" s="34"/>
      <c r="AJ65" s="34"/>
    </row>
    <row r="66" spans="1:36" s="2" customFormat="1" ht="16.5" x14ac:dyDescent="0.3">
      <c r="A66" s="27">
        <v>45954</v>
      </c>
      <c r="B66" s="27">
        <v>45951</v>
      </c>
      <c r="C66" s="21" t="s">
        <v>49</v>
      </c>
      <c r="D66" s="57" t="s">
        <v>154</v>
      </c>
      <c r="E66" s="58" t="s">
        <v>302</v>
      </c>
      <c r="F66" s="60"/>
      <c r="G66" s="60"/>
      <c r="H66" s="60"/>
      <c r="I66" s="60"/>
      <c r="J66" s="60"/>
      <c r="K66" s="57" t="s">
        <v>140</v>
      </c>
      <c r="L66" s="61">
        <v>11.2</v>
      </c>
      <c r="M66" s="62">
        <v>3.35</v>
      </c>
      <c r="N66" s="61">
        <v>10</v>
      </c>
      <c r="O66" s="61">
        <v>16.7</v>
      </c>
      <c r="P66" s="61">
        <v>48.2</v>
      </c>
      <c r="Q66" s="57" t="s">
        <v>140</v>
      </c>
      <c r="R66" s="57" t="s">
        <v>140</v>
      </c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59">
        <f t="shared" si="4"/>
        <v>45965</v>
      </c>
      <c r="AD66" s="57"/>
      <c r="AE66" s="60"/>
      <c r="AF66" s="59">
        <v>45964</v>
      </c>
      <c r="AG66" s="60"/>
      <c r="AH66" s="57"/>
      <c r="AI66" s="34"/>
      <c r="AJ66" s="34"/>
    </row>
    <row r="67" spans="1:36" s="2" customFormat="1" ht="16.5" x14ac:dyDescent="0.3">
      <c r="A67" s="27">
        <v>45954</v>
      </c>
      <c r="B67" s="27">
        <v>45951</v>
      </c>
      <c r="C67" s="21" t="s">
        <v>49</v>
      </c>
      <c r="D67" s="57" t="s">
        <v>155</v>
      </c>
      <c r="E67" s="58" t="s">
        <v>303</v>
      </c>
      <c r="F67" s="60"/>
      <c r="G67" s="60"/>
      <c r="H67" s="60"/>
      <c r="I67" s="60"/>
      <c r="J67" s="60"/>
      <c r="K67" s="57" t="s">
        <v>140</v>
      </c>
      <c r="L67" s="61">
        <v>10</v>
      </c>
      <c r="M67" s="62">
        <v>2.89</v>
      </c>
      <c r="N67" s="61">
        <v>10.6</v>
      </c>
      <c r="O67" s="61">
        <v>16.899999999999999</v>
      </c>
      <c r="P67" s="61">
        <v>43.9</v>
      </c>
      <c r="Q67" s="57" t="s">
        <v>140</v>
      </c>
      <c r="R67" s="57" t="s">
        <v>140</v>
      </c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59">
        <f t="shared" si="4"/>
        <v>45965</v>
      </c>
      <c r="AD67" s="57"/>
      <c r="AE67" s="60"/>
      <c r="AF67" s="59">
        <v>45964</v>
      </c>
      <c r="AG67" s="60"/>
      <c r="AH67" s="57"/>
      <c r="AI67" s="34"/>
      <c r="AJ67" s="34"/>
    </row>
    <row r="68" spans="1:36" s="2" customFormat="1" ht="16.5" x14ac:dyDescent="0.3">
      <c r="A68" s="27">
        <v>45954</v>
      </c>
      <c r="B68" s="27">
        <v>45951</v>
      </c>
      <c r="C68" s="21" t="s">
        <v>49</v>
      </c>
      <c r="D68" s="57" t="s">
        <v>156</v>
      </c>
      <c r="E68" s="58" t="s">
        <v>304</v>
      </c>
      <c r="F68" s="60"/>
      <c r="G68" s="60"/>
      <c r="H68" s="60"/>
      <c r="I68" s="60"/>
      <c r="J68" s="60"/>
      <c r="K68" s="57" t="s">
        <v>140</v>
      </c>
      <c r="L68" s="61">
        <v>8.9</v>
      </c>
      <c r="M68" s="62" t="s">
        <v>140</v>
      </c>
      <c r="N68" s="61">
        <v>11.3</v>
      </c>
      <c r="O68" s="61">
        <v>22</v>
      </c>
      <c r="P68" s="61">
        <v>47.4</v>
      </c>
      <c r="Q68" s="57" t="s">
        <v>140</v>
      </c>
      <c r="R68" s="57" t="s">
        <v>140</v>
      </c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59">
        <f t="shared" si="4"/>
        <v>45965</v>
      </c>
      <c r="AD68" s="57"/>
      <c r="AE68" s="60"/>
      <c r="AF68" s="59">
        <v>45964</v>
      </c>
      <c r="AG68" s="60"/>
      <c r="AH68" s="57"/>
      <c r="AI68" s="34"/>
      <c r="AJ68" s="34"/>
    </row>
    <row r="69" spans="1:36" s="2" customFormat="1" ht="16.5" x14ac:dyDescent="0.3">
      <c r="A69" s="27">
        <v>45954</v>
      </c>
      <c r="B69" s="27">
        <v>45951</v>
      </c>
      <c r="C69" s="21" t="s">
        <v>49</v>
      </c>
      <c r="D69" s="57" t="s">
        <v>157</v>
      </c>
      <c r="E69" s="58" t="s">
        <v>305</v>
      </c>
      <c r="F69" s="60"/>
      <c r="G69" s="60"/>
      <c r="H69" s="60"/>
      <c r="I69" s="60"/>
      <c r="J69" s="60"/>
      <c r="K69" s="57" t="s">
        <v>140</v>
      </c>
      <c r="L69" s="61">
        <v>6.9</v>
      </c>
      <c r="M69" s="62" t="s">
        <v>140</v>
      </c>
      <c r="N69" s="61">
        <v>9.6</v>
      </c>
      <c r="O69" s="61">
        <v>29.6</v>
      </c>
      <c r="P69" s="61">
        <v>42.9</v>
      </c>
      <c r="Q69" s="57" t="s">
        <v>140</v>
      </c>
      <c r="R69" s="57" t="s">
        <v>140</v>
      </c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59">
        <f t="shared" si="4"/>
        <v>45965</v>
      </c>
      <c r="AD69" s="57"/>
      <c r="AE69" s="60"/>
      <c r="AF69" s="59">
        <v>45964</v>
      </c>
      <c r="AG69" s="60"/>
      <c r="AH69" s="57"/>
      <c r="AI69" s="34"/>
      <c r="AJ69" s="34"/>
    </row>
    <row r="70" spans="1:36" s="2" customFormat="1" ht="16.5" x14ac:dyDescent="0.3">
      <c r="A70" s="27">
        <v>45954</v>
      </c>
      <c r="B70" s="27">
        <v>45951</v>
      </c>
      <c r="C70" s="21" t="s">
        <v>49</v>
      </c>
      <c r="D70" s="57" t="s">
        <v>158</v>
      </c>
      <c r="E70" s="58" t="s">
        <v>306</v>
      </c>
      <c r="F70" s="60"/>
      <c r="G70" s="60"/>
      <c r="H70" s="60"/>
      <c r="I70" s="60"/>
      <c r="J70" s="60"/>
      <c r="K70" s="57" t="s">
        <v>140</v>
      </c>
      <c r="L70" s="61">
        <v>7.3</v>
      </c>
      <c r="M70" s="62" t="s">
        <v>140</v>
      </c>
      <c r="N70" s="61">
        <v>8.5</v>
      </c>
      <c r="O70" s="61">
        <v>26.5</v>
      </c>
      <c r="P70" s="61">
        <v>43.2</v>
      </c>
      <c r="Q70" s="57" t="s">
        <v>140</v>
      </c>
      <c r="R70" s="57" t="s">
        <v>140</v>
      </c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59">
        <f t="shared" si="4"/>
        <v>45965</v>
      </c>
      <c r="AD70" s="57"/>
      <c r="AE70" s="60"/>
      <c r="AF70" s="59">
        <v>45964</v>
      </c>
      <c r="AG70" s="60"/>
      <c r="AH70" s="57"/>
      <c r="AI70" s="34"/>
      <c r="AJ70" s="34"/>
    </row>
    <row r="71" spans="1:36" s="2" customFormat="1" ht="16.5" x14ac:dyDescent="0.3">
      <c r="A71" s="27">
        <v>45954</v>
      </c>
      <c r="B71" s="27">
        <v>45951</v>
      </c>
      <c r="C71" s="21" t="s">
        <v>49</v>
      </c>
      <c r="D71" s="57" t="s">
        <v>159</v>
      </c>
      <c r="E71" s="58" t="s">
        <v>307</v>
      </c>
      <c r="F71" s="60"/>
      <c r="G71" s="60"/>
      <c r="H71" s="60"/>
      <c r="I71" s="60"/>
      <c r="J71" s="60"/>
      <c r="K71" s="57" t="s">
        <v>140</v>
      </c>
      <c r="L71" s="61">
        <v>6.7</v>
      </c>
      <c r="M71" s="62" t="s">
        <v>140</v>
      </c>
      <c r="N71" s="61">
        <v>9.3000000000000007</v>
      </c>
      <c r="O71" s="61">
        <v>26.8</v>
      </c>
      <c r="P71" s="61">
        <v>43.9</v>
      </c>
      <c r="Q71" s="57" t="s">
        <v>140</v>
      </c>
      <c r="R71" s="57" t="s">
        <v>140</v>
      </c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59">
        <f t="shared" si="4"/>
        <v>45965</v>
      </c>
      <c r="AD71" s="57"/>
      <c r="AE71" s="60"/>
      <c r="AF71" s="59">
        <v>45964</v>
      </c>
      <c r="AG71" s="60"/>
      <c r="AH71" s="57"/>
      <c r="AI71" s="34"/>
      <c r="AJ71" s="34"/>
    </row>
    <row r="72" spans="1:36" s="2" customFormat="1" ht="16.5" x14ac:dyDescent="0.3">
      <c r="A72" s="27">
        <v>45954</v>
      </c>
      <c r="B72" s="27">
        <v>45951</v>
      </c>
      <c r="C72" s="21" t="s">
        <v>49</v>
      </c>
      <c r="D72" s="57" t="s">
        <v>160</v>
      </c>
      <c r="E72" s="58" t="s">
        <v>308</v>
      </c>
      <c r="F72" s="60"/>
      <c r="G72" s="60"/>
      <c r="H72" s="60"/>
      <c r="I72" s="60"/>
      <c r="J72" s="60"/>
      <c r="K72" s="57" t="s">
        <v>140</v>
      </c>
      <c r="L72" s="61">
        <v>11.1</v>
      </c>
      <c r="M72" s="62">
        <v>4.93</v>
      </c>
      <c r="N72" s="61">
        <v>13.1</v>
      </c>
      <c r="O72" s="61">
        <v>21</v>
      </c>
      <c r="P72" s="61">
        <v>49.1</v>
      </c>
      <c r="Q72" s="57" t="s">
        <v>140</v>
      </c>
      <c r="R72" s="57" t="s">
        <v>140</v>
      </c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59">
        <f t="shared" si="4"/>
        <v>45965</v>
      </c>
      <c r="AD72" s="57"/>
      <c r="AE72" s="60"/>
      <c r="AF72" s="59">
        <v>45964</v>
      </c>
      <c r="AG72" s="60"/>
      <c r="AH72" s="57"/>
      <c r="AI72" s="34"/>
      <c r="AJ72" s="34"/>
    </row>
    <row r="73" spans="1:36" s="2" customFormat="1" ht="16.5" x14ac:dyDescent="0.3">
      <c r="A73" s="27">
        <v>45954</v>
      </c>
      <c r="B73" s="27">
        <v>45951</v>
      </c>
      <c r="C73" s="21" t="s">
        <v>49</v>
      </c>
      <c r="D73" s="57" t="s">
        <v>310</v>
      </c>
      <c r="E73" s="58" t="s">
        <v>311</v>
      </c>
      <c r="F73" s="60"/>
      <c r="G73" s="60"/>
      <c r="H73" s="60"/>
      <c r="I73" s="60"/>
      <c r="J73" s="60"/>
      <c r="K73" s="57" t="s">
        <v>140</v>
      </c>
      <c r="L73" s="61">
        <v>9.6</v>
      </c>
      <c r="M73" s="62">
        <v>4.38</v>
      </c>
      <c r="N73" s="61">
        <v>12.8</v>
      </c>
      <c r="O73" s="61">
        <v>20.2</v>
      </c>
      <c r="P73" s="61">
        <v>46</v>
      </c>
      <c r="Q73" s="57" t="s">
        <v>140</v>
      </c>
      <c r="R73" s="57" t="s">
        <v>140</v>
      </c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59">
        <f t="shared" ref="AC73" si="5">B73+14</f>
        <v>45965</v>
      </c>
      <c r="AD73" s="57"/>
      <c r="AE73" s="60"/>
      <c r="AF73" s="59">
        <v>45964</v>
      </c>
      <c r="AG73" s="60"/>
      <c r="AH73" s="57"/>
      <c r="AI73" s="34"/>
      <c r="AJ73" s="34"/>
    </row>
    <row r="74" spans="1:36" s="2" customFormat="1" ht="16.5" x14ac:dyDescent="0.3">
      <c r="A74" s="27">
        <v>45954</v>
      </c>
      <c r="B74" s="27">
        <v>45951</v>
      </c>
      <c r="C74" s="21" t="s">
        <v>49</v>
      </c>
      <c r="D74" s="57" t="s">
        <v>161</v>
      </c>
      <c r="E74" s="58" t="s">
        <v>309</v>
      </c>
      <c r="F74" s="60"/>
      <c r="G74" s="60"/>
      <c r="H74" s="60"/>
      <c r="I74" s="60"/>
      <c r="J74" s="60"/>
      <c r="K74" s="57" t="s">
        <v>140</v>
      </c>
      <c r="L74" s="61">
        <v>7.8</v>
      </c>
      <c r="M74" s="62">
        <v>3.51</v>
      </c>
      <c r="N74" s="61">
        <v>9.1</v>
      </c>
      <c r="O74" s="61">
        <v>29.6</v>
      </c>
      <c r="P74" s="61">
        <v>48.7</v>
      </c>
      <c r="Q74" s="57" t="s">
        <v>140</v>
      </c>
      <c r="R74" s="61" t="s">
        <v>140</v>
      </c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59">
        <f t="shared" si="4"/>
        <v>45965</v>
      </c>
      <c r="AD74" s="57"/>
      <c r="AE74" s="60"/>
      <c r="AF74" s="59">
        <v>45964</v>
      </c>
      <c r="AG74" s="60"/>
      <c r="AH74" s="57"/>
      <c r="AI74" s="34"/>
      <c r="AJ74" s="34"/>
    </row>
    <row r="75" spans="1:36" s="2" customFormat="1" ht="16.5" x14ac:dyDescent="0.3">
      <c r="A75" s="27">
        <v>45954</v>
      </c>
      <c r="B75" s="27">
        <v>45951</v>
      </c>
      <c r="C75" s="21" t="s">
        <v>49</v>
      </c>
      <c r="D75" s="57" t="s">
        <v>162</v>
      </c>
      <c r="E75" s="58" t="s">
        <v>312</v>
      </c>
      <c r="F75" s="60"/>
      <c r="G75" s="60"/>
      <c r="H75" s="60"/>
      <c r="I75" s="60"/>
      <c r="J75" s="60"/>
      <c r="K75" s="57" t="s">
        <v>140</v>
      </c>
      <c r="L75" s="61">
        <v>15.5</v>
      </c>
      <c r="M75" s="62">
        <v>7.54</v>
      </c>
      <c r="N75" s="61">
        <v>19.8</v>
      </c>
      <c r="O75" s="61">
        <v>20</v>
      </c>
      <c r="P75" s="61">
        <v>107.6</v>
      </c>
      <c r="Q75" s="57" t="s">
        <v>140</v>
      </c>
      <c r="R75" s="57">
        <v>1.4</v>
      </c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59">
        <f t="shared" si="4"/>
        <v>45965</v>
      </c>
      <c r="AD75" s="57"/>
      <c r="AE75" s="60"/>
      <c r="AF75" s="59">
        <v>45964</v>
      </c>
      <c r="AG75" s="60"/>
      <c r="AH75" s="57"/>
      <c r="AI75" s="34"/>
      <c r="AJ75" s="34"/>
    </row>
    <row r="76" spans="1:36" s="2" customFormat="1" ht="16.5" x14ac:dyDescent="0.3">
      <c r="A76" s="27">
        <v>45954</v>
      </c>
      <c r="B76" s="27">
        <v>45951</v>
      </c>
      <c r="C76" s="21" t="s">
        <v>49</v>
      </c>
      <c r="D76" s="57" t="s">
        <v>163</v>
      </c>
      <c r="E76" s="58" t="s">
        <v>313</v>
      </c>
      <c r="F76" s="60"/>
      <c r="G76" s="60"/>
      <c r="H76" s="60"/>
      <c r="I76" s="60"/>
      <c r="J76" s="60"/>
      <c r="K76" s="57" t="s">
        <v>140</v>
      </c>
      <c r="L76" s="61">
        <v>9.6999999999999993</v>
      </c>
      <c r="M76" s="62">
        <v>3.78</v>
      </c>
      <c r="N76" s="61">
        <v>11.2</v>
      </c>
      <c r="O76" s="61">
        <v>18</v>
      </c>
      <c r="P76" s="61">
        <v>48.1</v>
      </c>
      <c r="Q76" s="57" t="s">
        <v>140</v>
      </c>
      <c r="R76" s="61" t="s">
        <v>140</v>
      </c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59">
        <f t="shared" si="4"/>
        <v>45965</v>
      </c>
      <c r="AD76" s="57"/>
      <c r="AE76" s="60"/>
      <c r="AF76" s="59">
        <v>45964</v>
      </c>
      <c r="AG76" s="60"/>
      <c r="AH76" s="57"/>
      <c r="AI76" s="34"/>
      <c r="AJ76" s="34"/>
    </row>
    <row r="77" spans="1:36" s="2" customFormat="1" ht="16.5" x14ac:dyDescent="0.3">
      <c r="A77" s="27">
        <v>45954</v>
      </c>
      <c r="B77" s="27">
        <v>45951</v>
      </c>
      <c r="C77" s="21" t="s">
        <v>49</v>
      </c>
      <c r="D77" s="57" t="s">
        <v>164</v>
      </c>
      <c r="E77" s="58" t="s">
        <v>314</v>
      </c>
      <c r="F77" s="60"/>
      <c r="G77" s="60"/>
      <c r="H77" s="60"/>
      <c r="I77" s="60"/>
      <c r="J77" s="60"/>
      <c r="K77" s="57" t="s">
        <v>140</v>
      </c>
      <c r="L77" s="61">
        <v>8.5</v>
      </c>
      <c r="M77" s="62" t="s">
        <v>140</v>
      </c>
      <c r="N77" s="61">
        <v>10.1</v>
      </c>
      <c r="O77" s="61">
        <v>24.8</v>
      </c>
      <c r="P77" s="61">
        <v>52.7</v>
      </c>
      <c r="Q77" s="57" t="s">
        <v>140</v>
      </c>
      <c r="R77" s="61" t="s">
        <v>140</v>
      </c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59">
        <f t="shared" si="4"/>
        <v>45965</v>
      </c>
      <c r="AD77" s="57"/>
      <c r="AE77" s="60"/>
      <c r="AF77" s="59">
        <v>45964</v>
      </c>
      <c r="AG77" s="60"/>
      <c r="AH77" s="57"/>
      <c r="AI77" s="34"/>
      <c r="AJ77" s="34"/>
    </row>
    <row r="78" spans="1:36" s="2" customFormat="1" ht="16.5" x14ac:dyDescent="0.3">
      <c r="A78" s="27">
        <v>45954</v>
      </c>
      <c r="B78" s="27">
        <v>45951</v>
      </c>
      <c r="C78" s="21" t="s">
        <v>49</v>
      </c>
      <c r="D78" s="57" t="s">
        <v>165</v>
      </c>
      <c r="E78" s="58" t="s">
        <v>315</v>
      </c>
      <c r="F78" s="60"/>
      <c r="G78" s="60"/>
      <c r="H78" s="60"/>
      <c r="I78" s="60"/>
      <c r="J78" s="60"/>
      <c r="K78" s="57" t="s">
        <v>140</v>
      </c>
      <c r="L78" s="61">
        <v>7.4</v>
      </c>
      <c r="M78" s="62">
        <v>5.01</v>
      </c>
      <c r="N78" s="61">
        <v>10.8</v>
      </c>
      <c r="O78" s="61">
        <v>18.600000000000001</v>
      </c>
      <c r="P78" s="61">
        <v>40.6</v>
      </c>
      <c r="Q78" s="57" t="s">
        <v>140</v>
      </c>
      <c r="R78" s="61" t="s">
        <v>140</v>
      </c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59">
        <f t="shared" si="4"/>
        <v>45965</v>
      </c>
      <c r="AD78" s="57"/>
      <c r="AE78" s="60"/>
      <c r="AF78" s="59">
        <v>45964</v>
      </c>
      <c r="AG78" s="60"/>
      <c r="AH78" s="57"/>
      <c r="AI78" s="34"/>
      <c r="AJ78" s="34"/>
    </row>
    <row r="79" spans="1:36" s="2" customFormat="1" ht="16.5" x14ac:dyDescent="0.3">
      <c r="A79" s="27">
        <v>45954</v>
      </c>
      <c r="B79" s="27">
        <v>45951</v>
      </c>
      <c r="C79" s="21" t="s">
        <v>49</v>
      </c>
      <c r="D79" s="57" t="s">
        <v>166</v>
      </c>
      <c r="E79" s="58" t="s">
        <v>316</v>
      </c>
      <c r="F79" s="60"/>
      <c r="G79" s="60"/>
      <c r="H79" s="60"/>
      <c r="I79" s="60"/>
      <c r="J79" s="60"/>
      <c r="K79" s="57" t="s">
        <v>140</v>
      </c>
      <c r="L79" s="61">
        <v>8.6</v>
      </c>
      <c r="M79" s="62">
        <v>3.68</v>
      </c>
      <c r="N79" s="61">
        <v>10.8</v>
      </c>
      <c r="O79" s="61">
        <v>20.399999999999999</v>
      </c>
      <c r="P79" s="61">
        <v>45.8</v>
      </c>
      <c r="Q79" s="57" t="s">
        <v>140</v>
      </c>
      <c r="R79" s="61" t="s">
        <v>140</v>
      </c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59">
        <f t="shared" si="4"/>
        <v>45965</v>
      </c>
      <c r="AD79" s="57"/>
      <c r="AE79" s="60"/>
      <c r="AF79" s="59">
        <v>45964</v>
      </c>
      <c r="AG79" s="60"/>
      <c r="AH79" s="57"/>
      <c r="AI79" s="34"/>
      <c r="AJ79" s="34"/>
    </row>
    <row r="80" spans="1:36" s="2" customFormat="1" ht="16.5" x14ac:dyDescent="0.3">
      <c r="A80" s="27">
        <v>45954</v>
      </c>
      <c r="B80" s="27">
        <v>45951</v>
      </c>
      <c r="C80" s="21" t="s">
        <v>49</v>
      </c>
      <c r="D80" s="57" t="s">
        <v>167</v>
      </c>
      <c r="E80" s="58" t="s">
        <v>317</v>
      </c>
      <c r="F80" s="60"/>
      <c r="G80" s="60"/>
      <c r="H80" s="60"/>
      <c r="I80" s="60"/>
      <c r="J80" s="60"/>
      <c r="K80" s="57" t="s">
        <v>140</v>
      </c>
      <c r="L80" s="61">
        <v>19.8</v>
      </c>
      <c r="M80" s="62">
        <v>6.51</v>
      </c>
      <c r="N80" s="61">
        <v>16.600000000000001</v>
      </c>
      <c r="O80" s="61">
        <v>26.9</v>
      </c>
      <c r="P80" s="61">
        <v>82</v>
      </c>
      <c r="Q80" s="57" t="s">
        <v>140</v>
      </c>
      <c r="R80" s="61" t="s">
        <v>140</v>
      </c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59">
        <f t="shared" si="4"/>
        <v>45965</v>
      </c>
      <c r="AD80" s="57"/>
      <c r="AE80" s="60"/>
      <c r="AF80" s="59">
        <v>45964</v>
      </c>
      <c r="AG80" s="60"/>
      <c r="AH80" s="57"/>
      <c r="AI80" s="34"/>
      <c r="AJ80" s="34"/>
    </row>
    <row r="81" spans="1:36" s="2" customFormat="1" ht="16.5" x14ac:dyDescent="0.3">
      <c r="A81" s="27">
        <v>45954</v>
      </c>
      <c r="B81" s="27">
        <v>45951</v>
      </c>
      <c r="C81" s="21" t="s">
        <v>49</v>
      </c>
      <c r="D81" s="57" t="s">
        <v>168</v>
      </c>
      <c r="E81" s="58" t="s">
        <v>333</v>
      </c>
      <c r="F81" s="58" t="s">
        <v>140</v>
      </c>
      <c r="G81" s="57" t="s">
        <v>457</v>
      </c>
      <c r="H81" s="57" t="s">
        <v>457</v>
      </c>
      <c r="I81" s="57" t="s">
        <v>457</v>
      </c>
      <c r="J81" s="57" t="s">
        <v>457</v>
      </c>
      <c r="K81" s="57" t="s">
        <v>140</v>
      </c>
      <c r="L81" s="61">
        <v>21.1</v>
      </c>
      <c r="M81" s="62" t="s">
        <v>140</v>
      </c>
      <c r="N81" s="61">
        <v>18.399999999999999</v>
      </c>
      <c r="O81" s="61">
        <v>38.700000000000003</v>
      </c>
      <c r="P81" s="61">
        <v>66.8</v>
      </c>
      <c r="Q81" s="57" t="s">
        <v>140</v>
      </c>
      <c r="R81" s="61" t="s">
        <v>140</v>
      </c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59">
        <f t="shared" si="4"/>
        <v>45965</v>
      </c>
      <c r="AD81" s="57"/>
      <c r="AE81" s="59">
        <v>45965</v>
      </c>
      <c r="AF81" s="59">
        <v>45964</v>
      </c>
      <c r="AG81" s="60"/>
      <c r="AH81" s="57"/>
      <c r="AI81" s="34"/>
      <c r="AJ81" s="34"/>
    </row>
    <row r="82" spans="1:36" s="2" customFormat="1" ht="16.5" x14ac:dyDescent="0.3">
      <c r="A82" s="27">
        <v>45954</v>
      </c>
      <c r="B82" s="27">
        <v>45951</v>
      </c>
      <c r="C82" s="21" t="s">
        <v>49</v>
      </c>
      <c r="D82" s="57" t="s">
        <v>169</v>
      </c>
      <c r="E82" s="58" t="s">
        <v>318</v>
      </c>
      <c r="F82" s="58" t="s">
        <v>140</v>
      </c>
      <c r="G82" s="57" t="s">
        <v>457</v>
      </c>
      <c r="H82" s="57" t="s">
        <v>457</v>
      </c>
      <c r="I82" s="57" t="s">
        <v>457</v>
      </c>
      <c r="J82" s="57" t="s">
        <v>457</v>
      </c>
      <c r="K82" s="60"/>
      <c r="L82" s="64"/>
      <c r="M82" s="63"/>
      <c r="N82" s="64"/>
      <c r="O82" s="64"/>
      <c r="P82" s="64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59">
        <f t="shared" si="4"/>
        <v>45965</v>
      </c>
      <c r="AD82" s="57"/>
      <c r="AE82" s="59">
        <v>45965</v>
      </c>
      <c r="AF82" s="60"/>
      <c r="AG82" s="60"/>
      <c r="AH82" s="57"/>
      <c r="AI82" s="34"/>
      <c r="AJ82" s="34"/>
    </row>
    <row r="83" spans="1:36" s="2" customFormat="1" ht="16.5" x14ac:dyDescent="0.3">
      <c r="A83" s="27">
        <v>45954</v>
      </c>
      <c r="B83" s="27">
        <v>45951</v>
      </c>
      <c r="C83" s="21" t="s">
        <v>49</v>
      </c>
      <c r="D83" s="57" t="s">
        <v>170</v>
      </c>
      <c r="E83" s="58" t="s">
        <v>319</v>
      </c>
      <c r="F83" s="58" t="s">
        <v>140</v>
      </c>
      <c r="G83" s="57" t="s">
        <v>457</v>
      </c>
      <c r="H83" s="57" t="s">
        <v>457</v>
      </c>
      <c r="I83" s="57" t="s">
        <v>457</v>
      </c>
      <c r="J83" s="57" t="s">
        <v>457</v>
      </c>
      <c r="K83" s="60"/>
      <c r="L83" s="64"/>
      <c r="M83" s="63"/>
      <c r="N83" s="64"/>
      <c r="O83" s="64"/>
      <c r="P83" s="64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59">
        <f t="shared" si="4"/>
        <v>45965</v>
      </c>
      <c r="AD83" s="57"/>
      <c r="AE83" s="59">
        <v>45965</v>
      </c>
      <c r="AF83" s="60"/>
      <c r="AG83" s="60"/>
      <c r="AH83" s="57"/>
      <c r="AI83" s="34"/>
      <c r="AJ83" s="34"/>
    </row>
    <row r="84" spans="1:36" s="2" customFormat="1" ht="16.5" x14ac:dyDescent="0.3">
      <c r="A84" s="27">
        <v>45954</v>
      </c>
      <c r="B84" s="27">
        <v>45951</v>
      </c>
      <c r="C84" s="21" t="s">
        <v>49</v>
      </c>
      <c r="D84" s="57" t="s">
        <v>171</v>
      </c>
      <c r="E84" s="58" t="s">
        <v>320</v>
      </c>
      <c r="F84" s="58" t="s">
        <v>140</v>
      </c>
      <c r="G84" s="57" t="s">
        <v>457</v>
      </c>
      <c r="H84" s="57" t="s">
        <v>457</v>
      </c>
      <c r="I84" s="57" t="s">
        <v>457</v>
      </c>
      <c r="J84" s="57" t="s">
        <v>457</v>
      </c>
      <c r="K84" s="60"/>
      <c r="L84" s="64"/>
      <c r="M84" s="63"/>
      <c r="N84" s="64"/>
      <c r="O84" s="64"/>
      <c r="P84" s="64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59">
        <f t="shared" si="4"/>
        <v>45965</v>
      </c>
      <c r="AD84" s="57"/>
      <c r="AE84" s="59">
        <v>45965</v>
      </c>
      <c r="AF84" s="60"/>
      <c r="AG84" s="60"/>
      <c r="AH84" s="57"/>
      <c r="AI84" s="34"/>
      <c r="AJ84" s="34"/>
    </row>
    <row r="85" spans="1:36" s="2" customFormat="1" ht="16.5" x14ac:dyDescent="0.3">
      <c r="A85" s="27">
        <v>45954</v>
      </c>
      <c r="B85" s="27">
        <v>45951</v>
      </c>
      <c r="C85" s="21" t="s">
        <v>49</v>
      </c>
      <c r="D85" s="57" t="s">
        <v>172</v>
      </c>
      <c r="E85" s="58" t="s">
        <v>321</v>
      </c>
      <c r="F85" s="58" t="s">
        <v>140</v>
      </c>
      <c r="G85" s="57" t="s">
        <v>457</v>
      </c>
      <c r="H85" s="57" t="s">
        <v>457</v>
      </c>
      <c r="I85" s="57" t="s">
        <v>457</v>
      </c>
      <c r="J85" s="57" t="s">
        <v>457</v>
      </c>
      <c r="K85" s="60"/>
      <c r="L85" s="64"/>
      <c r="M85" s="63"/>
      <c r="N85" s="64"/>
      <c r="O85" s="64"/>
      <c r="P85" s="64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59">
        <f t="shared" si="4"/>
        <v>45965</v>
      </c>
      <c r="AD85" s="57"/>
      <c r="AE85" s="59">
        <v>45965</v>
      </c>
      <c r="AF85" s="60"/>
      <c r="AG85" s="60"/>
      <c r="AH85" s="57"/>
      <c r="AI85" s="34"/>
      <c r="AJ85" s="34"/>
    </row>
    <row r="86" spans="1:36" s="2" customFormat="1" ht="16.5" x14ac:dyDescent="0.3">
      <c r="A86" s="27">
        <v>45954</v>
      </c>
      <c r="B86" s="27">
        <v>45951</v>
      </c>
      <c r="C86" s="21" t="s">
        <v>49</v>
      </c>
      <c r="D86" s="57" t="s">
        <v>173</v>
      </c>
      <c r="E86" s="58" t="s">
        <v>322</v>
      </c>
      <c r="F86" s="58" t="s">
        <v>140</v>
      </c>
      <c r="G86" s="57" t="s">
        <v>457</v>
      </c>
      <c r="H86" s="57" t="s">
        <v>457</v>
      </c>
      <c r="I86" s="57" t="s">
        <v>457</v>
      </c>
      <c r="J86" s="57" t="s">
        <v>457</v>
      </c>
      <c r="K86" s="60"/>
      <c r="L86" s="64"/>
      <c r="M86" s="63"/>
      <c r="N86" s="64"/>
      <c r="O86" s="64"/>
      <c r="P86" s="64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59">
        <f t="shared" si="4"/>
        <v>45965</v>
      </c>
      <c r="AD86" s="57"/>
      <c r="AE86" s="59">
        <v>45965</v>
      </c>
      <c r="AF86" s="60"/>
      <c r="AG86" s="60"/>
      <c r="AH86" s="57"/>
      <c r="AI86" s="34"/>
      <c r="AJ86" s="34"/>
    </row>
    <row r="87" spans="1:36" s="2" customFormat="1" ht="16.5" x14ac:dyDescent="0.3">
      <c r="A87" s="27">
        <v>45954</v>
      </c>
      <c r="B87" s="27">
        <v>45951</v>
      </c>
      <c r="C87" s="21" t="s">
        <v>49</v>
      </c>
      <c r="D87" s="57" t="s">
        <v>174</v>
      </c>
      <c r="E87" s="58" t="s">
        <v>323</v>
      </c>
      <c r="F87" s="58" t="s">
        <v>140</v>
      </c>
      <c r="G87" s="57" t="s">
        <v>457</v>
      </c>
      <c r="H87" s="57" t="s">
        <v>457</v>
      </c>
      <c r="I87" s="57" t="s">
        <v>457</v>
      </c>
      <c r="J87" s="57" t="s">
        <v>457</v>
      </c>
      <c r="K87" s="60"/>
      <c r="L87" s="64"/>
      <c r="M87" s="63"/>
      <c r="N87" s="64"/>
      <c r="O87" s="64"/>
      <c r="P87" s="64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59">
        <f t="shared" si="4"/>
        <v>45965</v>
      </c>
      <c r="AD87" s="57"/>
      <c r="AE87" s="59">
        <v>45965</v>
      </c>
      <c r="AF87" s="60"/>
      <c r="AG87" s="60"/>
      <c r="AH87" s="57"/>
      <c r="AI87" s="34"/>
      <c r="AJ87" s="34"/>
    </row>
    <row r="88" spans="1:36" s="2" customFormat="1" ht="16.5" x14ac:dyDescent="0.3">
      <c r="A88" s="27">
        <v>45954</v>
      </c>
      <c r="B88" s="27">
        <v>45951</v>
      </c>
      <c r="C88" s="21" t="s">
        <v>49</v>
      </c>
      <c r="D88" s="57" t="s">
        <v>175</v>
      </c>
      <c r="E88" s="58" t="s">
        <v>324</v>
      </c>
      <c r="F88" s="58" t="s">
        <v>140</v>
      </c>
      <c r="G88" s="57" t="s">
        <v>457</v>
      </c>
      <c r="H88" s="57" t="s">
        <v>457</v>
      </c>
      <c r="I88" s="57" t="s">
        <v>457</v>
      </c>
      <c r="J88" s="57" t="s">
        <v>457</v>
      </c>
      <c r="K88" s="60"/>
      <c r="L88" s="64"/>
      <c r="M88" s="63"/>
      <c r="N88" s="64"/>
      <c r="O88" s="64"/>
      <c r="P88" s="64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59">
        <f t="shared" si="4"/>
        <v>45965</v>
      </c>
      <c r="AD88" s="57"/>
      <c r="AE88" s="59">
        <v>45965</v>
      </c>
      <c r="AF88" s="60"/>
      <c r="AG88" s="60"/>
      <c r="AH88" s="57"/>
      <c r="AI88" s="34"/>
      <c r="AJ88" s="34"/>
    </row>
    <row r="89" spans="1:36" s="2" customFormat="1" ht="16.5" x14ac:dyDescent="0.3">
      <c r="A89" s="27">
        <v>45954</v>
      </c>
      <c r="B89" s="27">
        <v>45951</v>
      </c>
      <c r="C89" s="21" t="s">
        <v>49</v>
      </c>
      <c r="D89" s="57" t="s">
        <v>176</v>
      </c>
      <c r="E89" s="58" t="s">
        <v>325</v>
      </c>
      <c r="F89" s="58" t="s">
        <v>140</v>
      </c>
      <c r="G89" s="57" t="s">
        <v>457</v>
      </c>
      <c r="H89" s="57" t="s">
        <v>457</v>
      </c>
      <c r="I89" s="57" t="s">
        <v>457</v>
      </c>
      <c r="J89" s="57" t="s">
        <v>457</v>
      </c>
      <c r="K89" s="60"/>
      <c r="L89" s="64"/>
      <c r="M89" s="63"/>
      <c r="N89" s="64"/>
      <c r="O89" s="64"/>
      <c r="P89" s="64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59">
        <f t="shared" si="4"/>
        <v>45965</v>
      </c>
      <c r="AD89" s="57"/>
      <c r="AE89" s="59">
        <v>45965</v>
      </c>
      <c r="AF89" s="60"/>
      <c r="AG89" s="60"/>
      <c r="AH89" s="57"/>
      <c r="AI89" s="34"/>
      <c r="AJ89" s="34"/>
    </row>
    <row r="90" spans="1:36" s="2" customFormat="1" ht="16.5" x14ac:dyDescent="0.3">
      <c r="A90" s="27">
        <v>45954</v>
      </c>
      <c r="B90" s="27">
        <v>45951</v>
      </c>
      <c r="C90" s="21" t="s">
        <v>49</v>
      </c>
      <c r="D90" s="57" t="s">
        <v>177</v>
      </c>
      <c r="E90" s="58" t="s">
        <v>326</v>
      </c>
      <c r="F90" s="58" t="s">
        <v>140</v>
      </c>
      <c r="G90" s="57" t="s">
        <v>457</v>
      </c>
      <c r="H90" s="57" t="s">
        <v>457</v>
      </c>
      <c r="I90" s="57" t="s">
        <v>457</v>
      </c>
      <c r="J90" s="57" t="s">
        <v>457</v>
      </c>
      <c r="K90" s="60"/>
      <c r="L90" s="64"/>
      <c r="M90" s="63"/>
      <c r="N90" s="64"/>
      <c r="O90" s="64"/>
      <c r="P90" s="64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59">
        <f t="shared" si="4"/>
        <v>45965</v>
      </c>
      <c r="AD90" s="57"/>
      <c r="AE90" s="59">
        <v>45965</v>
      </c>
      <c r="AF90" s="60"/>
      <c r="AG90" s="60"/>
      <c r="AH90" s="57"/>
      <c r="AI90" s="34"/>
      <c r="AJ90" s="34"/>
    </row>
    <row r="91" spans="1:36" s="2" customFormat="1" ht="16.5" x14ac:dyDescent="0.3">
      <c r="A91" s="27">
        <v>45954</v>
      </c>
      <c r="B91" s="27">
        <v>45951</v>
      </c>
      <c r="C91" s="21" t="s">
        <v>49</v>
      </c>
      <c r="D91" s="57" t="s">
        <v>178</v>
      </c>
      <c r="E91" s="58" t="s">
        <v>327</v>
      </c>
      <c r="F91" s="58" t="s">
        <v>140</v>
      </c>
      <c r="G91" s="57" t="s">
        <v>457</v>
      </c>
      <c r="H91" s="57" t="s">
        <v>457</v>
      </c>
      <c r="I91" s="57" t="s">
        <v>457</v>
      </c>
      <c r="J91" s="57" t="s">
        <v>457</v>
      </c>
      <c r="K91" s="60"/>
      <c r="L91" s="64"/>
      <c r="M91" s="63"/>
      <c r="N91" s="64"/>
      <c r="O91" s="64"/>
      <c r="P91" s="64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59">
        <f t="shared" si="4"/>
        <v>45965</v>
      </c>
      <c r="AD91" s="57"/>
      <c r="AE91" s="59">
        <v>45965</v>
      </c>
      <c r="AF91" s="60"/>
      <c r="AG91" s="60"/>
      <c r="AH91" s="57"/>
      <c r="AI91" s="34"/>
      <c r="AJ91" s="34"/>
    </row>
    <row r="92" spans="1:36" s="2" customFormat="1" ht="16.5" x14ac:dyDescent="0.3">
      <c r="A92" s="27">
        <v>45954</v>
      </c>
      <c r="B92" s="27">
        <v>45951</v>
      </c>
      <c r="C92" s="21" t="s">
        <v>49</v>
      </c>
      <c r="D92" s="57" t="s">
        <v>179</v>
      </c>
      <c r="E92" s="58" t="s">
        <v>328</v>
      </c>
      <c r="F92" s="58" t="s">
        <v>140</v>
      </c>
      <c r="G92" s="57" t="s">
        <v>457</v>
      </c>
      <c r="H92" s="57" t="s">
        <v>457</v>
      </c>
      <c r="I92" s="57" t="s">
        <v>457</v>
      </c>
      <c r="J92" s="57" t="s">
        <v>457</v>
      </c>
      <c r="K92" s="60"/>
      <c r="L92" s="64"/>
      <c r="M92" s="63"/>
      <c r="N92" s="64"/>
      <c r="O92" s="64"/>
      <c r="P92" s="64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59">
        <f t="shared" si="4"/>
        <v>45965</v>
      </c>
      <c r="AD92" s="57"/>
      <c r="AE92" s="59">
        <v>45965</v>
      </c>
      <c r="AF92" s="60"/>
      <c r="AG92" s="60"/>
      <c r="AH92" s="57"/>
      <c r="AI92" s="34"/>
      <c r="AJ92" s="34"/>
    </row>
    <row r="93" spans="1:36" s="2" customFormat="1" ht="16.5" x14ac:dyDescent="0.3">
      <c r="A93" s="27">
        <v>45954</v>
      </c>
      <c r="B93" s="27">
        <v>45951</v>
      </c>
      <c r="C93" s="21" t="s">
        <v>49</v>
      </c>
      <c r="D93" s="57" t="s">
        <v>180</v>
      </c>
      <c r="E93" s="58" t="s">
        <v>329</v>
      </c>
      <c r="F93" s="58" t="s">
        <v>140</v>
      </c>
      <c r="G93" s="57" t="s">
        <v>457</v>
      </c>
      <c r="H93" s="57" t="s">
        <v>457</v>
      </c>
      <c r="I93" s="57" t="s">
        <v>457</v>
      </c>
      <c r="J93" s="57" t="s">
        <v>457</v>
      </c>
      <c r="K93" s="60"/>
      <c r="L93" s="64"/>
      <c r="M93" s="63"/>
      <c r="N93" s="64"/>
      <c r="O93" s="64"/>
      <c r="P93" s="64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59">
        <f t="shared" si="4"/>
        <v>45965</v>
      </c>
      <c r="AD93" s="57"/>
      <c r="AE93" s="59">
        <v>45965</v>
      </c>
      <c r="AF93" s="60"/>
      <c r="AG93" s="60"/>
      <c r="AH93" s="57"/>
      <c r="AI93" s="34"/>
      <c r="AJ93" s="34"/>
    </row>
    <row r="94" spans="1:36" s="2" customFormat="1" ht="16.5" x14ac:dyDescent="0.3">
      <c r="A94" s="27">
        <v>45954</v>
      </c>
      <c r="B94" s="27">
        <v>45951</v>
      </c>
      <c r="C94" s="21" t="s">
        <v>49</v>
      </c>
      <c r="D94" s="57" t="s">
        <v>331</v>
      </c>
      <c r="E94" s="58" t="s">
        <v>332</v>
      </c>
      <c r="F94" s="58" t="s">
        <v>140</v>
      </c>
      <c r="G94" s="57" t="s">
        <v>457</v>
      </c>
      <c r="H94" s="57" t="s">
        <v>457</v>
      </c>
      <c r="I94" s="57" t="s">
        <v>457</v>
      </c>
      <c r="J94" s="57" t="s">
        <v>457</v>
      </c>
      <c r="K94" s="60"/>
      <c r="L94" s="64"/>
      <c r="M94" s="63"/>
      <c r="N94" s="64"/>
      <c r="O94" s="64"/>
      <c r="P94" s="64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59">
        <f t="shared" ref="AC94" si="6">B94+14</f>
        <v>45965</v>
      </c>
      <c r="AD94" s="57"/>
      <c r="AE94" s="59">
        <v>45965</v>
      </c>
      <c r="AF94" s="60"/>
      <c r="AG94" s="60"/>
      <c r="AH94" s="57"/>
      <c r="AI94" s="34"/>
      <c r="AJ94" s="34"/>
    </row>
    <row r="95" spans="1:36" s="2" customFormat="1" ht="16.5" x14ac:dyDescent="0.3">
      <c r="A95" s="27">
        <v>45954</v>
      </c>
      <c r="B95" s="27">
        <v>45951</v>
      </c>
      <c r="C95" s="21" t="s">
        <v>49</v>
      </c>
      <c r="D95" s="57" t="s">
        <v>181</v>
      </c>
      <c r="E95" s="58" t="s">
        <v>330</v>
      </c>
      <c r="F95" s="58" t="s">
        <v>140</v>
      </c>
      <c r="G95" s="57" t="s">
        <v>457</v>
      </c>
      <c r="H95" s="57" t="s">
        <v>457</v>
      </c>
      <c r="I95" s="57" t="s">
        <v>457</v>
      </c>
      <c r="J95" s="57" t="s">
        <v>457</v>
      </c>
      <c r="K95" s="60"/>
      <c r="L95" s="64"/>
      <c r="M95" s="63"/>
      <c r="N95" s="64"/>
      <c r="O95" s="64"/>
      <c r="P95" s="64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59">
        <f t="shared" ref="AC95:AC114" si="7">B95+14</f>
        <v>45965</v>
      </c>
      <c r="AD95" s="57"/>
      <c r="AE95" s="59">
        <v>45965</v>
      </c>
      <c r="AF95" s="60"/>
      <c r="AG95" s="60"/>
      <c r="AH95" s="57"/>
      <c r="AI95" s="34"/>
      <c r="AJ95" s="34"/>
    </row>
    <row r="96" spans="1:36" s="2" customFormat="1" ht="16.5" x14ac:dyDescent="0.3">
      <c r="A96" s="27">
        <v>45954</v>
      </c>
      <c r="B96" s="27">
        <v>45951</v>
      </c>
      <c r="C96" s="21" t="s">
        <v>49</v>
      </c>
      <c r="D96" s="57" t="s">
        <v>182</v>
      </c>
      <c r="E96" s="58" t="s">
        <v>334</v>
      </c>
      <c r="F96" s="58" t="s">
        <v>140</v>
      </c>
      <c r="G96" s="57" t="s">
        <v>457</v>
      </c>
      <c r="H96" s="57" t="s">
        <v>457</v>
      </c>
      <c r="I96" s="57" t="s">
        <v>457</v>
      </c>
      <c r="J96" s="57" t="s">
        <v>457</v>
      </c>
      <c r="K96" s="60"/>
      <c r="L96" s="64"/>
      <c r="M96" s="63"/>
      <c r="N96" s="64"/>
      <c r="O96" s="64"/>
      <c r="P96" s="64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59">
        <f t="shared" si="7"/>
        <v>45965</v>
      </c>
      <c r="AD96" s="57"/>
      <c r="AE96" s="59">
        <v>45965</v>
      </c>
      <c r="AF96" s="60"/>
      <c r="AG96" s="60"/>
      <c r="AH96" s="57"/>
      <c r="AI96" s="34"/>
      <c r="AJ96" s="34"/>
    </row>
    <row r="97" spans="1:36" s="2" customFormat="1" ht="16.5" x14ac:dyDescent="0.3">
      <c r="A97" s="27">
        <v>45954</v>
      </c>
      <c r="B97" s="27">
        <v>45951</v>
      </c>
      <c r="C97" s="21" t="s">
        <v>49</v>
      </c>
      <c r="D97" s="57" t="s">
        <v>183</v>
      </c>
      <c r="E97" s="58" t="s">
        <v>335</v>
      </c>
      <c r="F97" s="58" t="s">
        <v>140</v>
      </c>
      <c r="G97" s="57" t="s">
        <v>457</v>
      </c>
      <c r="H97" s="57" t="s">
        <v>457</v>
      </c>
      <c r="I97" s="57" t="s">
        <v>457</v>
      </c>
      <c r="J97" s="57" t="s">
        <v>457</v>
      </c>
      <c r="K97" s="60"/>
      <c r="L97" s="64"/>
      <c r="M97" s="63"/>
      <c r="N97" s="64"/>
      <c r="O97" s="64"/>
      <c r="P97" s="64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59">
        <f t="shared" si="7"/>
        <v>45965</v>
      </c>
      <c r="AD97" s="57"/>
      <c r="AE97" s="59">
        <v>45965</v>
      </c>
      <c r="AF97" s="60"/>
      <c r="AG97" s="60"/>
      <c r="AH97" s="57"/>
      <c r="AI97" s="34"/>
      <c r="AJ97" s="34"/>
    </row>
    <row r="98" spans="1:36" s="2" customFormat="1" ht="16.5" x14ac:dyDescent="0.3">
      <c r="A98" s="27">
        <v>45954</v>
      </c>
      <c r="B98" s="27">
        <v>45951</v>
      </c>
      <c r="C98" s="21" t="s">
        <v>49</v>
      </c>
      <c r="D98" s="57" t="s">
        <v>184</v>
      </c>
      <c r="E98" s="58" t="s">
        <v>336</v>
      </c>
      <c r="F98" s="58" t="s">
        <v>140</v>
      </c>
      <c r="G98" s="57" t="s">
        <v>457</v>
      </c>
      <c r="H98" s="57" t="s">
        <v>457</v>
      </c>
      <c r="I98" s="57" t="s">
        <v>457</v>
      </c>
      <c r="J98" s="57" t="s">
        <v>457</v>
      </c>
      <c r="K98" s="60"/>
      <c r="L98" s="64"/>
      <c r="M98" s="63"/>
      <c r="N98" s="64"/>
      <c r="O98" s="64"/>
      <c r="P98" s="64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59">
        <f t="shared" si="7"/>
        <v>45965</v>
      </c>
      <c r="AD98" s="57"/>
      <c r="AE98" s="59">
        <v>45965</v>
      </c>
      <c r="AF98" s="60"/>
      <c r="AG98" s="60"/>
      <c r="AH98" s="57"/>
      <c r="AI98" s="34"/>
      <c r="AJ98" s="34"/>
    </row>
    <row r="99" spans="1:36" s="2" customFormat="1" ht="16.5" x14ac:dyDescent="0.3">
      <c r="A99" s="27">
        <v>45954</v>
      </c>
      <c r="B99" s="27">
        <v>45951</v>
      </c>
      <c r="C99" s="21" t="s">
        <v>49</v>
      </c>
      <c r="D99" s="57" t="s">
        <v>185</v>
      </c>
      <c r="E99" s="58" t="s">
        <v>337</v>
      </c>
      <c r="F99" s="58" t="s">
        <v>140</v>
      </c>
      <c r="G99" s="57" t="s">
        <v>457</v>
      </c>
      <c r="H99" s="57" t="s">
        <v>457</v>
      </c>
      <c r="I99" s="57" t="s">
        <v>457</v>
      </c>
      <c r="J99" s="57" t="s">
        <v>457</v>
      </c>
      <c r="K99" s="60"/>
      <c r="L99" s="64"/>
      <c r="M99" s="63"/>
      <c r="N99" s="64"/>
      <c r="O99" s="64"/>
      <c r="P99" s="64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59">
        <f t="shared" si="7"/>
        <v>45965</v>
      </c>
      <c r="AD99" s="57"/>
      <c r="AE99" s="59">
        <v>45965</v>
      </c>
      <c r="AF99" s="60"/>
      <c r="AG99" s="60"/>
      <c r="AH99" s="57"/>
      <c r="AI99" s="34"/>
      <c r="AJ99" s="34"/>
    </row>
    <row r="100" spans="1:36" s="2" customFormat="1" ht="16.5" x14ac:dyDescent="0.3">
      <c r="A100" s="27">
        <v>45954</v>
      </c>
      <c r="B100" s="27">
        <v>45951</v>
      </c>
      <c r="C100" s="21" t="s">
        <v>49</v>
      </c>
      <c r="D100" s="57" t="s">
        <v>186</v>
      </c>
      <c r="E100" s="58" t="s">
        <v>338</v>
      </c>
      <c r="F100" s="58" t="s">
        <v>140</v>
      </c>
      <c r="G100" s="57" t="s">
        <v>457</v>
      </c>
      <c r="H100" s="57" t="s">
        <v>457</v>
      </c>
      <c r="I100" s="57" t="s">
        <v>457</v>
      </c>
      <c r="J100" s="57" t="s">
        <v>457</v>
      </c>
      <c r="K100" s="60"/>
      <c r="L100" s="64"/>
      <c r="M100" s="63"/>
      <c r="N100" s="64"/>
      <c r="O100" s="64"/>
      <c r="P100" s="64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59">
        <f t="shared" si="7"/>
        <v>45965</v>
      </c>
      <c r="AD100" s="57"/>
      <c r="AE100" s="59">
        <v>45965</v>
      </c>
      <c r="AF100" s="60"/>
      <c r="AG100" s="60"/>
      <c r="AH100" s="57"/>
      <c r="AI100" s="34"/>
      <c r="AJ100" s="34"/>
    </row>
    <row r="101" spans="1:36" s="2" customFormat="1" ht="16.5" x14ac:dyDescent="0.3">
      <c r="A101" s="27">
        <v>45954</v>
      </c>
      <c r="B101" s="27">
        <v>45951</v>
      </c>
      <c r="C101" s="21" t="s">
        <v>49</v>
      </c>
      <c r="D101" s="57" t="s">
        <v>187</v>
      </c>
      <c r="E101" s="58" t="s">
        <v>339</v>
      </c>
      <c r="F101" s="58" t="s">
        <v>140</v>
      </c>
      <c r="G101" s="57" t="s">
        <v>457</v>
      </c>
      <c r="H101" s="57" t="s">
        <v>457</v>
      </c>
      <c r="I101" s="57" t="s">
        <v>457</v>
      </c>
      <c r="J101" s="57" t="s">
        <v>457</v>
      </c>
      <c r="K101" s="60"/>
      <c r="L101" s="64"/>
      <c r="M101" s="63"/>
      <c r="N101" s="64"/>
      <c r="O101" s="64"/>
      <c r="P101" s="64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59">
        <f t="shared" si="7"/>
        <v>45965</v>
      </c>
      <c r="AD101" s="57"/>
      <c r="AE101" s="59">
        <v>45965</v>
      </c>
      <c r="AF101" s="60"/>
      <c r="AG101" s="60"/>
      <c r="AH101" s="57"/>
      <c r="AI101" s="34"/>
      <c r="AJ101" s="34"/>
    </row>
    <row r="102" spans="1:36" s="2" customFormat="1" ht="16.5" x14ac:dyDescent="0.3">
      <c r="A102" s="27">
        <v>45954</v>
      </c>
      <c r="B102" s="27">
        <v>45951</v>
      </c>
      <c r="C102" s="21" t="s">
        <v>49</v>
      </c>
      <c r="D102" s="57" t="s">
        <v>188</v>
      </c>
      <c r="E102" s="58" t="s">
        <v>340</v>
      </c>
      <c r="F102" s="58" t="s">
        <v>140</v>
      </c>
      <c r="G102" s="57" t="s">
        <v>457</v>
      </c>
      <c r="H102" s="57" t="s">
        <v>457</v>
      </c>
      <c r="I102" s="57" t="s">
        <v>457</v>
      </c>
      <c r="J102" s="57" t="s">
        <v>457</v>
      </c>
      <c r="K102" s="60"/>
      <c r="L102" s="64"/>
      <c r="M102" s="63"/>
      <c r="N102" s="64"/>
      <c r="O102" s="64"/>
      <c r="P102" s="64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59">
        <f t="shared" si="7"/>
        <v>45965</v>
      </c>
      <c r="AD102" s="57"/>
      <c r="AE102" s="59">
        <v>45965</v>
      </c>
      <c r="AF102" s="60"/>
      <c r="AG102" s="60"/>
      <c r="AH102" s="57"/>
      <c r="AI102" s="34"/>
      <c r="AJ102" s="34"/>
    </row>
    <row r="103" spans="1:36" s="2" customFormat="1" ht="16.5" x14ac:dyDescent="0.3">
      <c r="A103" s="27">
        <v>45954</v>
      </c>
      <c r="B103" s="27">
        <v>45951</v>
      </c>
      <c r="C103" s="21" t="s">
        <v>49</v>
      </c>
      <c r="D103" s="57" t="s">
        <v>189</v>
      </c>
      <c r="E103" s="58" t="s">
        <v>341</v>
      </c>
      <c r="F103" s="58" t="s">
        <v>140</v>
      </c>
      <c r="G103" s="57" t="s">
        <v>457</v>
      </c>
      <c r="H103" s="57" t="s">
        <v>457</v>
      </c>
      <c r="I103" s="57" t="s">
        <v>457</v>
      </c>
      <c r="J103" s="57" t="s">
        <v>457</v>
      </c>
      <c r="K103" s="60"/>
      <c r="L103" s="64"/>
      <c r="M103" s="63"/>
      <c r="N103" s="64"/>
      <c r="O103" s="64"/>
      <c r="P103" s="64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59">
        <f t="shared" si="7"/>
        <v>45965</v>
      </c>
      <c r="AD103" s="57"/>
      <c r="AE103" s="59">
        <v>45965</v>
      </c>
      <c r="AF103" s="60"/>
      <c r="AG103" s="60"/>
      <c r="AH103" s="57"/>
      <c r="AI103" s="34"/>
      <c r="AJ103" s="34"/>
    </row>
    <row r="104" spans="1:36" s="2" customFormat="1" ht="16.5" x14ac:dyDescent="0.3">
      <c r="A104" s="27">
        <v>45954</v>
      </c>
      <c r="B104" s="27">
        <v>45951</v>
      </c>
      <c r="C104" s="21" t="s">
        <v>49</v>
      </c>
      <c r="D104" s="57" t="s">
        <v>190</v>
      </c>
      <c r="E104" s="58" t="s">
        <v>342</v>
      </c>
      <c r="F104" s="58" t="s">
        <v>140</v>
      </c>
      <c r="G104" s="57" t="s">
        <v>457</v>
      </c>
      <c r="H104" s="57" t="s">
        <v>457</v>
      </c>
      <c r="I104" s="57" t="s">
        <v>457</v>
      </c>
      <c r="J104" s="57" t="s">
        <v>457</v>
      </c>
      <c r="K104" s="60"/>
      <c r="L104" s="64"/>
      <c r="M104" s="63"/>
      <c r="N104" s="64"/>
      <c r="O104" s="64"/>
      <c r="P104" s="64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59">
        <f t="shared" si="7"/>
        <v>45965</v>
      </c>
      <c r="AD104" s="57"/>
      <c r="AE104" s="59">
        <v>45965</v>
      </c>
      <c r="AF104" s="60"/>
      <c r="AG104" s="60"/>
      <c r="AH104" s="57"/>
      <c r="AI104" s="34"/>
      <c r="AJ104" s="34"/>
    </row>
    <row r="105" spans="1:36" s="2" customFormat="1" ht="16.5" x14ac:dyDescent="0.3">
      <c r="A105" s="27">
        <v>45954</v>
      </c>
      <c r="B105" s="27">
        <v>45951</v>
      </c>
      <c r="C105" s="21" t="s">
        <v>49</v>
      </c>
      <c r="D105" s="57" t="s">
        <v>191</v>
      </c>
      <c r="E105" s="58" t="s">
        <v>343</v>
      </c>
      <c r="F105" s="58" t="s">
        <v>140</v>
      </c>
      <c r="G105" s="57" t="s">
        <v>457</v>
      </c>
      <c r="H105" s="57" t="s">
        <v>457</v>
      </c>
      <c r="I105" s="57" t="s">
        <v>457</v>
      </c>
      <c r="J105" s="57" t="s">
        <v>457</v>
      </c>
      <c r="K105" s="60"/>
      <c r="L105" s="64"/>
      <c r="M105" s="63"/>
      <c r="N105" s="64"/>
      <c r="O105" s="64"/>
      <c r="P105" s="64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59">
        <f t="shared" si="7"/>
        <v>45965</v>
      </c>
      <c r="AD105" s="57"/>
      <c r="AE105" s="59">
        <v>45965</v>
      </c>
      <c r="AF105" s="60"/>
      <c r="AG105" s="60"/>
      <c r="AH105" s="57"/>
      <c r="AI105" s="34"/>
      <c r="AJ105" s="34"/>
    </row>
    <row r="106" spans="1:36" s="2" customFormat="1" ht="16.5" x14ac:dyDescent="0.3">
      <c r="A106" s="27">
        <v>45954</v>
      </c>
      <c r="B106" s="27">
        <v>45951</v>
      </c>
      <c r="C106" s="21" t="s">
        <v>49</v>
      </c>
      <c r="D106" s="57" t="s">
        <v>192</v>
      </c>
      <c r="E106" s="58" t="s">
        <v>344</v>
      </c>
      <c r="F106" s="58" t="s">
        <v>140</v>
      </c>
      <c r="G106" s="57" t="s">
        <v>457</v>
      </c>
      <c r="H106" s="57" t="s">
        <v>457</v>
      </c>
      <c r="I106" s="57" t="s">
        <v>457</v>
      </c>
      <c r="J106" s="57" t="s">
        <v>457</v>
      </c>
      <c r="K106" s="60"/>
      <c r="L106" s="64"/>
      <c r="M106" s="63"/>
      <c r="N106" s="64"/>
      <c r="O106" s="64"/>
      <c r="P106" s="64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59">
        <f t="shared" si="7"/>
        <v>45965</v>
      </c>
      <c r="AD106" s="57"/>
      <c r="AE106" s="59">
        <v>45965</v>
      </c>
      <c r="AF106" s="60"/>
      <c r="AG106" s="60"/>
      <c r="AH106" s="57"/>
      <c r="AI106" s="34"/>
      <c r="AJ106" s="34"/>
    </row>
    <row r="107" spans="1:36" s="2" customFormat="1" ht="16.5" x14ac:dyDescent="0.3">
      <c r="A107" s="27">
        <v>45954</v>
      </c>
      <c r="B107" s="27">
        <v>45951</v>
      </c>
      <c r="C107" s="21" t="s">
        <v>49</v>
      </c>
      <c r="D107" s="57" t="s">
        <v>193</v>
      </c>
      <c r="E107" s="58" t="s">
        <v>345</v>
      </c>
      <c r="F107" s="58" t="s">
        <v>140</v>
      </c>
      <c r="G107" s="57" t="s">
        <v>457</v>
      </c>
      <c r="H107" s="57" t="s">
        <v>457</v>
      </c>
      <c r="I107" s="57" t="s">
        <v>457</v>
      </c>
      <c r="J107" s="57" t="s">
        <v>457</v>
      </c>
      <c r="K107" s="60"/>
      <c r="L107" s="64"/>
      <c r="M107" s="63"/>
      <c r="N107" s="64"/>
      <c r="O107" s="64"/>
      <c r="P107" s="64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59">
        <f t="shared" si="7"/>
        <v>45965</v>
      </c>
      <c r="AD107" s="57"/>
      <c r="AE107" s="59">
        <v>45965</v>
      </c>
      <c r="AF107" s="60"/>
      <c r="AG107" s="60"/>
      <c r="AH107" s="57"/>
      <c r="AI107" s="34"/>
      <c r="AJ107" s="34"/>
    </row>
    <row r="108" spans="1:36" s="2" customFormat="1" ht="16.5" x14ac:dyDescent="0.3">
      <c r="A108" s="27">
        <v>45954</v>
      </c>
      <c r="B108" s="27">
        <v>45951</v>
      </c>
      <c r="C108" s="21" t="s">
        <v>49</v>
      </c>
      <c r="D108" s="57" t="s">
        <v>194</v>
      </c>
      <c r="E108" s="58" t="s">
        <v>346</v>
      </c>
      <c r="F108" s="58" t="s">
        <v>140</v>
      </c>
      <c r="G108" s="57" t="s">
        <v>457</v>
      </c>
      <c r="H108" s="57" t="s">
        <v>457</v>
      </c>
      <c r="I108" s="57" t="s">
        <v>457</v>
      </c>
      <c r="J108" s="57" t="s">
        <v>457</v>
      </c>
      <c r="K108" s="60"/>
      <c r="L108" s="64"/>
      <c r="M108" s="63"/>
      <c r="N108" s="64"/>
      <c r="O108" s="64"/>
      <c r="P108" s="64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59">
        <f t="shared" si="7"/>
        <v>45965</v>
      </c>
      <c r="AD108" s="57"/>
      <c r="AE108" s="59">
        <v>45965</v>
      </c>
      <c r="AF108" s="60"/>
      <c r="AG108" s="60"/>
      <c r="AH108" s="57"/>
      <c r="AI108" s="34"/>
      <c r="AJ108" s="34"/>
    </row>
    <row r="109" spans="1:36" s="2" customFormat="1" ht="16.5" x14ac:dyDescent="0.3">
      <c r="A109" s="27">
        <v>45954</v>
      </c>
      <c r="B109" s="27">
        <v>45951</v>
      </c>
      <c r="C109" s="21" t="s">
        <v>49</v>
      </c>
      <c r="D109" s="57" t="s">
        <v>195</v>
      </c>
      <c r="E109" s="58" t="s">
        <v>347</v>
      </c>
      <c r="F109" s="58" t="s">
        <v>140</v>
      </c>
      <c r="G109" s="57" t="s">
        <v>457</v>
      </c>
      <c r="H109" s="57" t="s">
        <v>457</v>
      </c>
      <c r="I109" s="57" t="s">
        <v>457</v>
      </c>
      <c r="J109" s="57" t="s">
        <v>457</v>
      </c>
      <c r="K109" s="60"/>
      <c r="L109" s="64"/>
      <c r="M109" s="63"/>
      <c r="N109" s="64"/>
      <c r="O109" s="64"/>
      <c r="P109" s="64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59">
        <f t="shared" si="7"/>
        <v>45965</v>
      </c>
      <c r="AD109" s="57"/>
      <c r="AE109" s="59">
        <v>45965</v>
      </c>
      <c r="AF109" s="60"/>
      <c r="AG109" s="60"/>
      <c r="AH109" s="57"/>
      <c r="AI109" s="34"/>
      <c r="AJ109" s="34"/>
    </row>
    <row r="110" spans="1:36" s="2" customFormat="1" ht="16.5" x14ac:dyDescent="0.3">
      <c r="A110" s="27">
        <v>45954</v>
      </c>
      <c r="B110" s="27">
        <v>45951</v>
      </c>
      <c r="C110" s="21" t="s">
        <v>49</v>
      </c>
      <c r="D110" s="57" t="s">
        <v>196</v>
      </c>
      <c r="E110" s="58" t="s">
        <v>348</v>
      </c>
      <c r="F110" s="58" t="s">
        <v>140</v>
      </c>
      <c r="G110" s="57" t="s">
        <v>457</v>
      </c>
      <c r="H110" s="57" t="s">
        <v>457</v>
      </c>
      <c r="I110" s="57" t="s">
        <v>457</v>
      </c>
      <c r="J110" s="57" t="s">
        <v>457</v>
      </c>
      <c r="K110" s="60"/>
      <c r="L110" s="64"/>
      <c r="M110" s="63"/>
      <c r="N110" s="64"/>
      <c r="O110" s="64"/>
      <c r="P110" s="64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59">
        <f t="shared" si="7"/>
        <v>45965</v>
      </c>
      <c r="AD110" s="57"/>
      <c r="AE110" s="59">
        <v>45965</v>
      </c>
      <c r="AF110" s="60"/>
      <c r="AG110" s="60"/>
      <c r="AH110" s="57"/>
      <c r="AI110" s="34"/>
      <c r="AJ110" s="34"/>
    </row>
    <row r="111" spans="1:36" s="2" customFormat="1" ht="16.5" x14ac:dyDescent="0.3">
      <c r="A111" s="27">
        <v>45954</v>
      </c>
      <c r="B111" s="27">
        <v>45951</v>
      </c>
      <c r="C111" s="21" t="s">
        <v>49</v>
      </c>
      <c r="D111" s="57" t="s">
        <v>197</v>
      </c>
      <c r="E111" s="58" t="s">
        <v>349</v>
      </c>
      <c r="F111" s="58" t="s">
        <v>140</v>
      </c>
      <c r="G111" s="57" t="s">
        <v>457</v>
      </c>
      <c r="H111" s="57" t="s">
        <v>457</v>
      </c>
      <c r="I111" s="57" t="s">
        <v>457</v>
      </c>
      <c r="J111" s="57" t="s">
        <v>457</v>
      </c>
      <c r="K111" s="60"/>
      <c r="L111" s="64"/>
      <c r="M111" s="63"/>
      <c r="N111" s="64"/>
      <c r="O111" s="64"/>
      <c r="P111" s="64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59">
        <f t="shared" si="7"/>
        <v>45965</v>
      </c>
      <c r="AD111" s="57"/>
      <c r="AE111" s="59">
        <v>45965</v>
      </c>
      <c r="AF111" s="60"/>
      <c r="AG111" s="60"/>
      <c r="AH111" s="57"/>
      <c r="AI111" s="34"/>
      <c r="AJ111" s="34"/>
    </row>
    <row r="112" spans="1:36" s="2" customFormat="1" ht="16.5" x14ac:dyDescent="0.3">
      <c r="A112" s="27">
        <v>45954</v>
      </c>
      <c r="B112" s="27">
        <v>45951</v>
      </c>
      <c r="C112" s="21" t="s">
        <v>49</v>
      </c>
      <c r="D112" s="57" t="s">
        <v>198</v>
      </c>
      <c r="E112" s="58" t="s">
        <v>350</v>
      </c>
      <c r="F112" s="58" t="s">
        <v>140</v>
      </c>
      <c r="G112" s="57" t="s">
        <v>457</v>
      </c>
      <c r="H112" s="57" t="s">
        <v>457</v>
      </c>
      <c r="I112" s="57" t="s">
        <v>457</v>
      </c>
      <c r="J112" s="57" t="s">
        <v>457</v>
      </c>
      <c r="K112" s="60"/>
      <c r="L112" s="64"/>
      <c r="M112" s="63"/>
      <c r="N112" s="64"/>
      <c r="O112" s="64"/>
      <c r="P112" s="64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59">
        <f t="shared" si="7"/>
        <v>45965</v>
      </c>
      <c r="AD112" s="57"/>
      <c r="AE112" s="59">
        <v>45965</v>
      </c>
      <c r="AF112" s="60"/>
      <c r="AG112" s="60"/>
      <c r="AH112" s="57"/>
      <c r="AI112" s="34"/>
      <c r="AJ112" s="34"/>
    </row>
    <row r="113" spans="1:36" s="2" customFormat="1" ht="16.5" x14ac:dyDescent="0.3">
      <c r="A113" s="27">
        <v>45954</v>
      </c>
      <c r="B113" s="27">
        <v>45951</v>
      </c>
      <c r="C113" s="21" t="s">
        <v>49</v>
      </c>
      <c r="D113" s="57" t="s">
        <v>199</v>
      </c>
      <c r="E113" s="58" t="s">
        <v>351</v>
      </c>
      <c r="F113" s="58" t="s">
        <v>140</v>
      </c>
      <c r="G113" s="57" t="s">
        <v>457</v>
      </c>
      <c r="H113" s="57" t="s">
        <v>457</v>
      </c>
      <c r="I113" s="57" t="s">
        <v>457</v>
      </c>
      <c r="J113" s="57" t="s">
        <v>457</v>
      </c>
      <c r="K113" s="60"/>
      <c r="L113" s="64"/>
      <c r="M113" s="63"/>
      <c r="N113" s="64"/>
      <c r="O113" s="64"/>
      <c r="P113" s="64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59">
        <f t="shared" si="7"/>
        <v>45965</v>
      </c>
      <c r="AD113" s="57"/>
      <c r="AE113" s="59">
        <v>45965</v>
      </c>
      <c r="AF113" s="60"/>
      <c r="AG113" s="60"/>
      <c r="AH113" s="57"/>
      <c r="AI113" s="34"/>
      <c r="AJ113" s="34"/>
    </row>
    <row r="114" spans="1:36" s="2" customFormat="1" ht="16.5" x14ac:dyDescent="0.3">
      <c r="A114" s="27">
        <v>45954</v>
      </c>
      <c r="B114" s="27">
        <v>45951</v>
      </c>
      <c r="C114" s="21" t="s">
        <v>49</v>
      </c>
      <c r="D114" s="57" t="s">
        <v>200</v>
      </c>
      <c r="E114" s="58" t="s">
        <v>352</v>
      </c>
      <c r="F114" s="58" t="s">
        <v>140</v>
      </c>
      <c r="G114" s="57" t="s">
        <v>457</v>
      </c>
      <c r="H114" s="57" t="s">
        <v>457</v>
      </c>
      <c r="I114" s="57" t="s">
        <v>457</v>
      </c>
      <c r="J114" s="57" t="s">
        <v>457</v>
      </c>
      <c r="K114" s="60"/>
      <c r="L114" s="64"/>
      <c r="M114" s="63"/>
      <c r="N114" s="64"/>
      <c r="O114" s="64"/>
      <c r="P114" s="64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59">
        <f t="shared" si="7"/>
        <v>45965</v>
      </c>
      <c r="AD114" s="57"/>
      <c r="AE114" s="59">
        <v>45965</v>
      </c>
      <c r="AF114" s="60"/>
      <c r="AG114" s="60"/>
      <c r="AH114" s="57"/>
      <c r="AI114" s="34"/>
      <c r="AJ114" s="34"/>
    </row>
    <row r="115" spans="1:36" s="2" customFormat="1" ht="16.5" x14ac:dyDescent="0.3">
      <c r="A115" s="27">
        <v>45954</v>
      </c>
      <c r="B115" s="27">
        <v>45951</v>
      </c>
      <c r="C115" s="21" t="s">
        <v>49</v>
      </c>
      <c r="D115" s="57" t="s">
        <v>353</v>
      </c>
      <c r="E115" s="58" t="s">
        <v>354</v>
      </c>
      <c r="F115" s="58" t="s">
        <v>140</v>
      </c>
      <c r="G115" s="57" t="s">
        <v>457</v>
      </c>
      <c r="H115" s="57" t="s">
        <v>457</v>
      </c>
      <c r="I115" s="57" t="s">
        <v>457</v>
      </c>
      <c r="J115" s="57" t="s">
        <v>457</v>
      </c>
      <c r="K115" s="60"/>
      <c r="L115" s="64"/>
      <c r="M115" s="63"/>
      <c r="N115" s="64"/>
      <c r="O115" s="64"/>
      <c r="P115" s="64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59">
        <f t="shared" ref="AC115" si="8">B115+14</f>
        <v>45965</v>
      </c>
      <c r="AD115" s="57"/>
      <c r="AE115" s="59">
        <v>45965</v>
      </c>
      <c r="AF115" s="60"/>
      <c r="AG115" s="60"/>
      <c r="AH115" s="57"/>
      <c r="AI115" s="34"/>
      <c r="AJ115" s="34"/>
    </row>
    <row r="116" spans="1:36" s="2" customFormat="1" ht="16.5" x14ac:dyDescent="0.3">
      <c r="A116" s="27">
        <v>45954</v>
      </c>
      <c r="B116" s="27">
        <v>45951</v>
      </c>
      <c r="C116" s="21" t="s">
        <v>49</v>
      </c>
      <c r="D116" s="57" t="s">
        <v>201</v>
      </c>
      <c r="E116" s="58" t="s">
        <v>355</v>
      </c>
      <c r="F116" s="58" t="s">
        <v>140</v>
      </c>
      <c r="G116" s="57" t="s">
        <v>457</v>
      </c>
      <c r="H116" s="57" t="s">
        <v>457</v>
      </c>
      <c r="I116" s="57" t="s">
        <v>457</v>
      </c>
      <c r="J116" s="57" t="s">
        <v>457</v>
      </c>
      <c r="K116" s="60"/>
      <c r="L116" s="64"/>
      <c r="M116" s="63"/>
      <c r="N116" s="64"/>
      <c r="O116" s="64"/>
      <c r="P116" s="64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59">
        <f t="shared" ref="AC116:AC126" si="9">B116+14</f>
        <v>45965</v>
      </c>
      <c r="AD116" s="57"/>
      <c r="AE116" s="59">
        <v>45965</v>
      </c>
      <c r="AF116" s="60"/>
      <c r="AG116" s="60"/>
      <c r="AH116" s="57"/>
      <c r="AI116" s="34"/>
      <c r="AJ116" s="34"/>
    </row>
    <row r="117" spans="1:36" s="2" customFormat="1" ht="16.5" x14ac:dyDescent="0.3">
      <c r="A117" s="27">
        <v>45954</v>
      </c>
      <c r="B117" s="27">
        <v>45951</v>
      </c>
      <c r="C117" s="21" t="s">
        <v>49</v>
      </c>
      <c r="D117" s="57" t="s">
        <v>202</v>
      </c>
      <c r="E117" s="58" t="s">
        <v>356</v>
      </c>
      <c r="F117" s="58" t="s">
        <v>140</v>
      </c>
      <c r="G117" s="57" t="s">
        <v>457</v>
      </c>
      <c r="H117" s="57" t="s">
        <v>457</v>
      </c>
      <c r="I117" s="57" t="s">
        <v>457</v>
      </c>
      <c r="J117" s="57" t="s">
        <v>457</v>
      </c>
      <c r="K117" s="60"/>
      <c r="L117" s="64"/>
      <c r="M117" s="63"/>
      <c r="N117" s="64"/>
      <c r="O117" s="64"/>
      <c r="P117" s="64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59">
        <f t="shared" si="9"/>
        <v>45965</v>
      </c>
      <c r="AD117" s="57"/>
      <c r="AE117" s="59">
        <v>45965</v>
      </c>
      <c r="AF117" s="60"/>
      <c r="AG117" s="60"/>
      <c r="AH117" s="57"/>
      <c r="AI117" s="34"/>
      <c r="AJ117" s="34"/>
    </row>
    <row r="118" spans="1:36" s="2" customFormat="1" ht="16.5" x14ac:dyDescent="0.3">
      <c r="A118" s="27">
        <v>45954</v>
      </c>
      <c r="B118" s="27">
        <v>45951</v>
      </c>
      <c r="C118" s="21" t="s">
        <v>49</v>
      </c>
      <c r="D118" s="57" t="s">
        <v>203</v>
      </c>
      <c r="E118" s="58" t="s">
        <v>357</v>
      </c>
      <c r="F118" s="58" t="s">
        <v>140</v>
      </c>
      <c r="G118" s="57" t="s">
        <v>457</v>
      </c>
      <c r="H118" s="57" t="s">
        <v>457</v>
      </c>
      <c r="I118" s="57" t="s">
        <v>457</v>
      </c>
      <c r="J118" s="57" t="s">
        <v>457</v>
      </c>
      <c r="K118" s="60"/>
      <c r="L118" s="64"/>
      <c r="M118" s="63"/>
      <c r="N118" s="64"/>
      <c r="O118" s="64"/>
      <c r="P118" s="64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59">
        <f t="shared" si="9"/>
        <v>45965</v>
      </c>
      <c r="AD118" s="57"/>
      <c r="AE118" s="59">
        <v>45965</v>
      </c>
      <c r="AF118" s="60"/>
      <c r="AG118" s="60"/>
      <c r="AH118" s="57"/>
      <c r="AI118" s="34"/>
      <c r="AJ118" s="34"/>
    </row>
    <row r="119" spans="1:36" s="2" customFormat="1" ht="16.5" x14ac:dyDescent="0.3">
      <c r="A119" s="27">
        <v>45954</v>
      </c>
      <c r="B119" s="27">
        <v>45951</v>
      </c>
      <c r="C119" s="21" t="s">
        <v>49</v>
      </c>
      <c r="D119" s="57" t="s">
        <v>204</v>
      </c>
      <c r="E119" s="58" t="s">
        <v>358</v>
      </c>
      <c r="F119" s="58" t="s">
        <v>140</v>
      </c>
      <c r="G119" s="57" t="s">
        <v>457</v>
      </c>
      <c r="H119" s="57" t="s">
        <v>457</v>
      </c>
      <c r="I119" s="57" t="s">
        <v>457</v>
      </c>
      <c r="J119" s="57" t="s">
        <v>457</v>
      </c>
      <c r="K119" s="60"/>
      <c r="L119" s="64"/>
      <c r="M119" s="63"/>
      <c r="N119" s="64"/>
      <c r="O119" s="64"/>
      <c r="P119" s="64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59">
        <f t="shared" si="9"/>
        <v>45965</v>
      </c>
      <c r="AD119" s="57"/>
      <c r="AE119" s="59">
        <v>45965</v>
      </c>
      <c r="AF119" s="60"/>
      <c r="AG119" s="60"/>
      <c r="AH119" s="57"/>
      <c r="AI119" s="34"/>
      <c r="AJ119" s="34"/>
    </row>
    <row r="120" spans="1:36" s="2" customFormat="1" ht="16.5" x14ac:dyDescent="0.3">
      <c r="A120" s="27">
        <v>45954</v>
      </c>
      <c r="B120" s="27">
        <v>45951</v>
      </c>
      <c r="C120" s="21" t="s">
        <v>49</v>
      </c>
      <c r="D120" s="57" t="s">
        <v>205</v>
      </c>
      <c r="E120" s="58" t="s">
        <v>359</v>
      </c>
      <c r="F120" s="58" t="s">
        <v>140</v>
      </c>
      <c r="G120" s="57" t="s">
        <v>457</v>
      </c>
      <c r="H120" s="57" t="s">
        <v>457</v>
      </c>
      <c r="I120" s="57" t="s">
        <v>457</v>
      </c>
      <c r="J120" s="57" t="s">
        <v>457</v>
      </c>
      <c r="K120" s="60"/>
      <c r="L120" s="64"/>
      <c r="M120" s="63"/>
      <c r="N120" s="64"/>
      <c r="O120" s="64"/>
      <c r="P120" s="64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59">
        <f t="shared" si="9"/>
        <v>45965</v>
      </c>
      <c r="AD120" s="57"/>
      <c r="AE120" s="59">
        <v>45965</v>
      </c>
      <c r="AF120" s="60"/>
      <c r="AG120" s="60"/>
      <c r="AH120" s="57"/>
      <c r="AI120" s="34"/>
      <c r="AJ120" s="34"/>
    </row>
    <row r="121" spans="1:36" s="2" customFormat="1" ht="16.5" x14ac:dyDescent="0.3">
      <c r="A121" s="27">
        <v>45954</v>
      </c>
      <c r="B121" s="27">
        <v>45951</v>
      </c>
      <c r="C121" s="21" t="s">
        <v>49</v>
      </c>
      <c r="D121" s="57" t="s">
        <v>206</v>
      </c>
      <c r="E121" s="58" t="s">
        <v>360</v>
      </c>
      <c r="F121" s="58" t="s">
        <v>140</v>
      </c>
      <c r="G121" s="57" t="s">
        <v>457</v>
      </c>
      <c r="H121" s="57" t="s">
        <v>457</v>
      </c>
      <c r="I121" s="57" t="s">
        <v>457</v>
      </c>
      <c r="J121" s="57" t="s">
        <v>457</v>
      </c>
      <c r="K121" s="60"/>
      <c r="L121" s="64"/>
      <c r="M121" s="63"/>
      <c r="N121" s="64"/>
      <c r="O121" s="64"/>
      <c r="P121" s="64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59">
        <f t="shared" si="9"/>
        <v>45965</v>
      </c>
      <c r="AD121" s="57"/>
      <c r="AE121" s="59">
        <v>45965</v>
      </c>
      <c r="AF121" s="60"/>
      <c r="AG121" s="60"/>
      <c r="AH121" s="57"/>
      <c r="AI121" s="34"/>
      <c r="AJ121" s="34"/>
    </row>
    <row r="122" spans="1:36" s="2" customFormat="1" ht="16.5" x14ac:dyDescent="0.3">
      <c r="A122" s="27">
        <v>45954</v>
      </c>
      <c r="B122" s="27">
        <v>45951</v>
      </c>
      <c r="C122" s="21" t="s">
        <v>49</v>
      </c>
      <c r="D122" s="57" t="s">
        <v>207</v>
      </c>
      <c r="E122" s="58" t="s">
        <v>361</v>
      </c>
      <c r="F122" s="58" t="s">
        <v>140</v>
      </c>
      <c r="G122" s="57" t="s">
        <v>457</v>
      </c>
      <c r="H122" s="57" t="s">
        <v>457</v>
      </c>
      <c r="I122" s="57" t="s">
        <v>457</v>
      </c>
      <c r="J122" s="57" t="s">
        <v>457</v>
      </c>
      <c r="K122" s="60"/>
      <c r="L122" s="64"/>
      <c r="M122" s="63"/>
      <c r="N122" s="64"/>
      <c r="O122" s="64"/>
      <c r="P122" s="64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59">
        <f t="shared" si="9"/>
        <v>45965</v>
      </c>
      <c r="AD122" s="57"/>
      <c r="AE122" s="59">
        <v>45965</v>
      </c>
      <c r="AF122" s="60"/>
      <c r="AG122" s="60"/>
      <c r="AH122" s="57"/>
      <c r="AI122" s="34"/>
      <c r="AJ122" s="34"/>
    </row>
    <row r="123" spans="1:36" s="2" customFormat="1" ht="16.5" x14ac:dyDescent="0.3">
      <c r="A123" s="27">
        <v>45954</v>
      </c>
      <c r="B123" s="27">
        <v>45951</v>
      </c>
      <c r="C123" s="21" t="s">
        <v>49</v>
      </c>
      <c r="D123" s="57" t="s">
        <v>208</v>
      </c>
      <c r="E123" s="58" t="s">
        <v>362</v>
      </c>
      <c r="F123" s="58" t="s">
        <v>140</v>
      </c>
      <c r="G123" s="57" t="s">
        <v>457</v>
      </c>
      <c r="H123" s="57" t="s">
        <v>457</v>
      </c>
      <c r="I123" s="57" t="s">
        <v>457</v>
      </c>
      <c r="J123" s="57" t="s">
        <v>457</v>
      </c>
      <c r="K123" s="60"/>
      <c r="L123" s="64"/>
      <c r="M123" s="63"/>
      <c r="N123" s="64"/>
      <c r="O123" s="64"/>
      <c r="P123" s="64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59">
        <f t="shared" si="9"/>
        <v>45965</v>
      </c>
      <c r="AD123" s="57"/>
      <c r="AE123" s="59">
        <v>45965</v>
      </c>
      <c r="AF123" s="60"/>
      <c r="AG123" s="60"/>
      <c r="AH123" s="57"/>
      <c r="AI123" s="34"/>
      <c r="AJ123" s="34"/>
    </row>
    <row r="124" spans="1:36" s="2" customFormat="1" ht="16.5" x14ac:dyDescent="0.3">
      <c r="A124" s="27">
        <v>45954</v>
      </c>
      <c r="B124" s="27">
        <v>45951</v>
      </c>
      <c r="C124" s="21" t="s">
        <v>49</v>
      </c>
      <c r="D124" s="57" t="s">
        <v>209</v>
      </c>
      <c r="E124" s="58" t="s">
        <v>363</v>
      </c>
      <c r="F124" s="58" t="s">
        <v>140</v>
      </c>
      <c r="G124" s="57" t="s">
        <v>457</v>
      </c>
      <c r="H124" s="57" t="s">
        <v>457</v>
      </c>
      <c r="I124" s="57" t="s">
        <v>457</v>
      </c>
      <c r="J124" s="57" t="s">
        <v>457</v>
      </c>
      <c r="K124" s="60"/>
      <c r="L124" s="64"/>
      <c r="M124" s="63"/>
      <c r="N124" s="64"/>
      <c r="O124" s="64"/>
      <c r="P124" s="64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59">
        <f t="shared" si="9"/>
        <v>45965</v>
      </c>
      <c r="AD124" s="57"/>
      <c r="AE124" s="59">
        <v>45965</v>
      </c>
      <c r="AF124" s="60"/>
      <c r="AG124" s="60"/>
      <c r="AH124" s="57"/>
      <c r="AI124" s="34"/>
      <c r="AJ124" s="34"/>
    </row>
    <row r="125" spans="1:36" s="2" customFormat="1" ht="16.5" x14ac:dyDescent="0.3">
      <c r="A125" s="27">
        <v>45954</v>
      </c>
      <c r="B125" s="27">
        <v>45951</v>
      </c>
      <c r="C125" s="21" t="s">
        <v>49</v>
      </c>
      <c r="D125" s="57" t="s">
        <v>364</v>
      </c>
      <c r="E125" s="58" t="s">
        <v>366</v>
      </c>
      <c r="F125" s="58" t="s">
        <v>140</v>
      </c>
      <c r="G125" s="57" t="s">
        <v>457</v>
      </c>
      <c r="H125" s="57" t="s">
        <v>457</v>
      </c>
      <c r="I125" s="57" t="s">
        <v>457</v>
      </c>
      <c r="J125" s="57" t="s">
        <v>457</v>
      </c>
      <c r="K125" s="57" t="s">
        <v>140</v>
      </c>
      <c r="L125" s="61" t="s">
        <v>140</v>
      </c>
      <c r="M125" s="62" t="s">
        <v>140</v>
      </c>
      <c r="N125" s="61" t="s">
        <v>140</v>
      </c>
      <c r="O125" s="61" t="s">
        <v>140</v>
      </c>
      <c r="P125" s="61" t="s">
        <v>140</v>
      </c>
      <c r="Q125" s="61" t="s">
        <v>140</v>
      </c>
      <c r="R125" s="61" t="s">
        <v>140</v>
      </c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59">
        <f t="shared" si="9"/>
        <v>45965</v>
      </c>
      <c r="AD125" s="57"/>
      <c r="AE125" s="59">
        <v>45965</v>
      </c>
      <c r="AF125" s="59">
        <v>45964</v>
      </c>
      <c r="AG125" s="60"/>
      <c r="AH125" s="57"/>
      <c r="AI125" s="34"/>
      <c r="AJ125" s="34"/>
    </row>
    <row r="126" spans="1:36" s="2" customFormat="1" ht="16.5" x14ac:dyDescent="0.3">
      <c r="A126" s="27">
        <v>45954</v>
      </c>
      <c r="B126" s="27">
        <v>45951</v>
      </c>
      <c r="C126" s="21" t="s">
        <v>49</v>
      </c>
      <c r="D126" s="57" t="s">
        <v>365</v>
      </c>
      <c r="E126" s="58" t="s">
        <v>367</v>
      </c>
      <c r="F126" s="58" t="s">
        <v>140</v>
      </c>
      <c r="G126" s="57" t="s">
        <v>457</v>
      </c>
      <c r="H126" s="57" t="s">
        <v>457</v>
      </c>
      <c r="I126" s="57" t="s">
        <v>457</v>
      </c>
      <c r="J126" s="57" t="s">
        <v>457</v>
      </c>
      <c r="K126" s="57" t="s">
        <v>140</v>
      </c>
      <c r="L126" s="61" t="s">
        <v>140</v>
      </c>
      <c r="M126" s="62" t="s">
        <v>140</v>
      </c>
      <c r="N126" s="61" t="s">
        <v>140</v>
      </c>
      <c r="O126" s="61" t="s">
        <v>140</v>
      </c>
      <c r="P126" s="61" t="s">
        <v>140</v>
      </c>
      <c r="Q126" s="61" t="s">
        <v>140</v>
      </c>
      <c r="R126" s="61" t="s">
        <v>140</v>
      </c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59">
        <f t="shared" si="9"/>
        <v>45965</v>
      </c>
      <c r="AD126" s="57"/>
      <c r="AE126" s="59">
        <v>45965</v>
      </c>
      <c r="AF126" s="59">
        <v>45964</v>
      </c>
      <c r="AG126" s="60"/>
      <c r="AH126" s="57"/>
      <c r="AI126" s="34"/>
      <c r="AJ126" s="34"/>
    </row>
    <row r="127" spans="1:36" s="2" customFormat="1" ht="16.5" x14ac:dyDescent="0.3">
      <c r="A127" s="27">
        <v>45954</v>
      </c>
      <c r="B127" s="27">
        <v>45952</v>
      </c>
      <c r="C127" s="21" t="s">
        <v>49</v>
      </c>
      <c r="D127" s="57" t="s">
        <v>210</v>
      </c>
      <c r="E127" s="58" t="s">
        <v>368</v>
      </c>
      <c r="F127" s="58" t="s">
        <v>140</v>
      </c>
      <c r="G127" s="57" t="s">
        <v>457</v>
      </c>
      <c r="H127" s="57" t="s">
        <v>457</v>
      </c>
      <c r="I127" s="57" t="s">
        <v>457</v>
      </c>
      <c r="J127" s="57" t="s">
        <v>457</v>
      </c>
      <c r="K127" s="60"/>
      <c r="L127" s="64"/>
      <c r="M127" s="63"/>
      <c r="N127" s="64"/>
      <c r="O127" s="64"/>
      <c r="P127" s="64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59">
        <f t="shared" ref="AC127:AC146" si="10">B127+14</f>
        <v>45966</v>
      </c>
      <c r="AD127" s="57"/>
      <c r="AE127" s="59">
        <v>45965</v>
      </c>
      <c r="AF127" s="60"/>
      <c r="AG127" s="60"/>
      <c r="AH127" s="57"/>
      <c r="AI127" s="34"/>
      <c r="AJ127" s="34"/>
    </row>
    <row r="128" spans="1:36" s="2" customFormat="1" ht="16.5" x14ac:dyDescent="0.3">
      <c r="A128" s="27">
        <v>45954</v>
      </c>
      <c r="B128" s="27">
        <v>45952</v>
      </c>
      <c r="C128" s="21" t="s">
        <v>49</v>
      </c>
      <c r="D128" s="57" t="s">
        <v>211</v>
      </c>
      <c r="E128" s="58" t="s">
        <v>369</v>
      </c>
      <c r="F128" s="58" t="s">
        <v>140</v>
      </c>
      <c r="G128" s="57" t="s">
        <v>457</v>
      </c>
      <c r="H128" s="57" t="s">
        <v>457</v>
      </c>
      <c r="I128" s="57" t="s">
        <v>457</v>
      </c>
      <c r="J128" s="57" t="s">
        <v>457</v>
      </c>
      <c r="K128" s="60"/>
      <c r="L128" s="64"/>
      <c r="M128" s="63"/>
      <c r="N128" s="64"/>
      <c r="O128" s="64"/>
      <c r="P128" s="64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59">
        <f t="shared" si="10"/>
        <v>45966</v>
      </c>
      <c r="AD128" s="57"/>
      <c r="AE128" s="59">
        <v>45965</v>
      </c>
      <c r="AF128" s="60"/>
      <c r="AG128" s="60"/>
      <c r="AH128" s="57"/>
      <c r="AI128" s="34"/>
      <c r="AJ128" s="34"/>
    </row>
    <row r="129" spans="1:36" s="2" customFormat="1" ht="16.5" x14ac:dyDescent="0.3">
      <c r="A129" s="27">
        <v>45954</v>
      </c>
      <c r="B129" s="27">
        <v>45952</v>
      </c>
      <c r="C129" s="21" t="s">
        <v>49</v>
      </c>
      <c r="D129" s="57" t="s">
        <v>212</v>
      </c>
      <c r="E129" s="58" t="s">
        <v>370</v>
      </c>
      <c r="F129" s="58" t="s">
        <v>140</v>
      </c>
      <c r="G129" s="57" t="s">
        <v>457</v>
      </c>
      <c r="H129" s="57" t="s">
        <v>457</v>
      </c>
      <c r="I129" s="57" t="s">
        <v>457</v>
      </c>
      <c r="J129" s="57" t="s">
        <v>457</v>
      </c>
      <c r="K129" s="60"/>
      <c r="L129" s="64"/>
      <c r="M129" s="63"/>
      <c r="N129" s="64"/>
      <c r="O129" s="64"/>
      <c r="P129" s="64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59">
        <f t="shared" si="10"/>
        <v>45966</v>
      </c>
      <c r="AD129" s="57"/>
      <c r="AE129" s="59">
        <v>45965</v>
      </c>
      <c r="AF129" s="60"/>
      <c r="AG129" s="60"/>
      <c r="AH129" s="57"/>
      <c r="AI129" s="34"/>
      <c r="AJ129" s="34"/>
    </row>
    <row r="130" spans="1:36" s="2" customFormat="1" ht="16.5" x14ac:dyDescent="0.3">
      <c r="A130" s="27">
        <v>45954</v>
      </c>
      <c r="B130" s="27">
        <v>45952</v>
      </c>
      <c r="C130" s="21" t="s">
        <v>49</v>
      </c>
      <c r="D130" s="57" t="s">
        <v>213</v>
      </c>
      <c r="E130" s="58" t="s">
        <v>371</v>
      </c>
      <c r="F130" s="58" t="s">
        <v>140</v>
      </c>
      <c r="G130" s="57" t="s">
        <v>457</v>
      </c>
      <c r="H130" s="57" t="s">
        <v>457</v>
      </c>
      <c r="I130" s="57" t="s">
        <v>457</v>
      </c>
      <c r="J130" s="57" t="s">
        <v>457</v>
      </c>
      <c r="K130" s="60"/>
      <c r="L130" s="64"/>
      <c r="M130" s="63"/>
      <c r="N130" s="64"/>
      <c r="O130" s="64"/>
      <c r="P130" s="64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59">
        <f t="shared" si="10"/>
        <v>45966</v>
      </c>
      <c r="AD130" s="57"/>
      <c r="AE130" s="59">
        <v>45965</v>
      </c>
      <c r="AF130" s="60"/>
      <c r="AG130" s="60"/>
      <c r="AH130" s="57"/>
      <c r="AI130" s="34"/>
      <c r="AJ130" s="34"/>
    </row>
    <row r="131" spans="1:36" s="2" customFormat="1" ht="16.5" x14ac:dyDescent="0.3">
      <c r="A131" s="27">
        <v>45954</v>
      </c>
      <c r="B131" s="27">
        <v>45952</v>
      </c>
      <c r="C131" s="21" t="s">
        <v>49</v>
      </c>
      <c r="D131" s="57" t="s">
        <v>214</v>
      </c>
      <c r="E131" s="58" t="s">
        <v>372</v>
      </c>
      <c r="F131" s="58" t="s">
        <v>140</v>
      </c>
      <c r="G131" s="57" t="s">
        <v>457</v>
      </c>
      <c r="H131" s="57" t="s">
        <v>457</v>
      </c>
      <c r="I131" s="57" t="s">
        <v>457</v>
      </c>
      <c r="J131" s="57" t="s">
        <v>457</v>
      </c>
      <c r="K131" s="57" t="s">
        <v>140</v>
      </c>
      <c r="L131" s="61">
        <v>19.8</v>
      </c>
      <c r="M131" s="62">
        <v>2.4</v>
      </c>
      <c r="N131" s="61">
        <v>15.3</v>
      </c>
      <c r="O131" s="61">
        <v>63.1</v>
      </c>
      <c r="P131" s="61">
        <v>70</v>
      </c>
      <c r="Q131" s="61" t="s">
        <v>140</v>
      </c>
      <c r="R131" s="61" t="s">
        <v>140</v>
      </c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59">
        <f t="shared" si="10"/>
        <v>45966</v>
      </c>
      <c r="AD131" s="57"/>
      <c r="AE131" s="59">
        <v>45965</v>
      </c>
      <c r="AF131" s="59">
        <v>45964</v>
      </c>
      <c r="AG131" s="60"/>
      <c r="AH131" s="57"/>
      <c r="AI131" s="34"/>
      <c r="AJ131" s="34"/>
    </row>
    <row r="132" spans="1:36" s="2" customFormat="1" ht="16.5" x14ac:dyDescent="0.3">
      <c r="A132" s="27">
        <v>45954</v>
      </c>
      <c r="B132" s="27">
        <v>45952</v>
      </c>
      <c r="C132" s="21" t="s">
        <v>49</v>
      </c>
      <c r="D132" s="57" t="s">
        <v>215</v>
      </c>
      <c r="E132" s="58" t="s">
        <v>373</v>
      </c>
      <c r="F132" s="60"/>
      <c r="G132" s="60"/>
      <c r="H132" s="60"/>
      <c r="I132" s="60"/>
      <c r="J132" s="60"/>
      <c r="K132" s="57" t="s">
        <v>140</v>
      </c>
      <c r="L132" s="61">
        <v>15.2</v>
      </c>
      <c r="M132" s="62">
        <v>1.93</v>
      </c>
      <c r="N132" s="61">
        <v>13</v>
      </c>
      <c r="O132" s="61">
        <v>34.799999999999997</v>
      </c>
      <c r="P132" s="61">
        <v>52.6</v>
      </c>
      <c r="Q132" s="61" t="s">
        <v>140</v>
      </c>
      <c r="R132" s="57">
        <v>0.7</v>
      </c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59">
        <f t="shared" si="10"/>
        <v>45966</v>
      </c>
      <c r="AD132" s="57"/>
      <c r="AE132" s="60"/>
      <c r="AF132" s="59">
        <v>45964</v>
      </c>
      <c r="AG132" s="60"/>
      <c r="AH132" s="57"/>
      <c r="AI132" s="34"/>
      <c r="AJ132" s="34"/>
    </row>
    <row r="133" spans="1:36" s="2" customFormat="1" ht="16.5" x14ac:dyDescent="0.3">
      <c r="A133" s="27">
        <v>45954</v>
      </c>
      <c r="B133" s="27">
        <v>45952</v>
      </c>
      <c r="C133" s="21" t="s">
        <v>49</v>
      </c>
      <c r="D133" s="57" t="s">
        <v>216</v>
      </c>
      <c r="E133" s="58" t="s">
        <v>374</v>
      </c>
      <c r="F133" s="60"/>
      <c r="G133" s="60"/>
      <c r="H133" s="60"/>
      <c r="I133" s="60"/>
      <c r="J133" s="60"/>
      <c r="K133" s="57" t="s">
        <v>140</v>
      </c>
      <c r="L133" s="61">
        <v>15.4</v>
      </c>
      <c r="M133" s="62">
        <v>5.15</v>
      </c>
      <c r="N133" s="61">
        <v>13.2</v>
      </c>
      <c r="O133" s="61">
        <v>35.4</v>
      </c>
      <c r="P133" s="61">
        <v>51.5</v>
      </c>
      <c r="Q133" s="61" t="s">
        <v>140</v>
      </c>
      <c r="R133" s="61" t="s">
        <v>140</v>
      </c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59">
        <f t="shared" si="10"/>
        <v>45966</v>
      </c>
      <c r="AD133" s="57"/>
      <c r="AE133" s="60"/>
      <c r="AF133" s="59">
        <v>45964</v>
      </c>
      <c r="AG133" s="60"/>
      <c r="AH133" s="57"/>
      <c r="AI133" s="34"/>
      <c r="AJ133" s="34"/>
    </row>
    <row r="134" spans="1:36" s="2" customFormat="1" ht="16.5" x14ac:dyDescent="0.3">
      <c r="A134" s="27">
        <v>45954</v>
      </c>
      <c r="B134" s="27">
        <v>45952</v>
      </c>
      <c r="C134" s="21" t="s">
        <v>49</v>
      </c>
      <c r="D134" s="57" t="s">
        <v>217</v>
      </c>
      <c r="E134" s="58" t="s">
        <v>375</v>
      </c>
      <c r="F134" s="58" t="s">
        <v>140</v>
      </c>
      <c r="G134" s="57" t="s">
        <v>457</v>
      </c>
      <c r="H134" s="57" t="s">
        <v>457</v>
      </c>
      <c r="I134" s="57" t="s">
        <v>457</v>
      </c>
      <c r="J134" s="57" t="s">
        <v>457</v>
      </c>
      <c r="K134" s="57" t="s">
        <v>140</v>
      </c>
      <c r="L134" s="61">
        <v>11.3</v>
      </c>
      <c r="M134" s="62">
        <v>2.63</v>
      </c>
      <c r="N134" s="61">
        <v>9.6999999999999993</v>
      </c>
      <c r="O134" s="61">
        <v>41.7</v>
      </c>
      <c r="P134" s="61">
        <v>51.6</v>
      </c>
      <c r="Q134" s="61" t="s">
        <v>140</v>
      </c>
      <c r="R134" s="61" t="s">
        <v>140</v>
      </c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59">
        <f t="shared" si="10"/>
        <v>45966</v>
      </c>
      <c r="AD134" s="57"/>
      <c r="AE134" s="59">
        <v>45965</v>
      </c>
      <c r="AF134" s="59">
        <v>45964</v>
      </c>
      <c r="AG134" s="60"/>
      <c r="AH134" s="57"/>
      <c r="AI134" s="34"/>
      <c r="AJ134" s="34"/>
    </row>
    <row r="135" spans="1:36" s="2" customFormat="1" ht="16.5" x14ac:dyDescent="0.3">
      <c r="A135" s="27">
        <v>45954</v>
      </c>
      <c r="B135" s="27">
        <v>45952</v>
      </c>
      <c r="C135" s="21" t="s">
        <v>49</v>
      </c>
      <c r="D135" s="57" t="s">
        <v>218</v>
      </c>
      <c r="E135" s="58" t="s">
        <v>376</v>
      </c>
      <c r="F135" s="58">
        <v>3636</v>
      </c>
      <c r="G135" s="57" t="s">
        <v>457</v>
      </c>
      <c r="H135" s="57" t="s">
        <v>457</v>
      </c>
      <c r="I135" s="57" t="s">
        <v>457</v>
      </c>
      <c r="J135" s="57" t="s">
        <v>457</v>
      </c>
      <c r="K135" s="57" t="s">
        <v>140</v>
      </c>
      <c r="L135" s="61">
        <v>15</v>
      </c>
      <c r="M135" s="62">
        <v>2.13</v>
      </c>
      <c r="N135" s="61">
        <v>13.2</v>
      </c>
      <c r="O135" s="61">
        <v>21.9</v>
      </c>
      <c r="P135" s="61">
        <v>42.7</v>
      </c>
      <c r="Q135" s="61" t="s">
        <v>140</v>
      </c>
      <c r="R135" s="61" t="s">
        <v>140</v>
      </c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59">
        <f t="shared" si="10"/>
        <v>45966</v>
      </c>
      <c r="AD135" s="57"/>
      <c r="AE135" s="59">
        <v>45965</v>
      </c>
      <c r="AF135" s="59">
        <v>45964</v>
      </c>
      <c r="AG135" s="60"/>
      <c r="AH135" s="57"/>
      <c r="AI135" s="34"/>
      <c r="AJ135" s="34"/>
    </row>
    <row r="136" spans="1:36" s="2" customFormat="1" ht="16.5" x14ac:dyDescent="0.3">
      <c r="A136" s="27">
        <v>45954</v>
      </c>
      <c r="B136" s="27">
        <v>45952</v>
      </c>
      <c r="C136" s="21" t="s">
        <v>49</v>
      </c>
      <c r="D136" s="57" t="s">
        <v>219</v>
      </c>
      <c r="E136" s="58" t="s">
        <v>377</v>
      </c>
      <c r="F136" s="58">
        <v>3381</v>
      </c>
      <c r="G136" s="57" t="s">
        <v>457</v>
      </c>
      <c r="H136" s="57" t="s">
        <v>457</v>
      </c>
      <c r="I136" s="57" t="s">
        <v>457</v>
      </c>
      <c r="J136" s="57" t="s">
        <v>457</v>
      </c>
      <c r="K136" s="57" t="s">
        <v>140</v>
      </c>
      <c r="L136" s="61">
        <v>11.4</v>
      </c>
      <c r="M136" s="62" t="s">
        <v>140</v>
      </c>
      <c r="N136" s="61">
        <v>11.9</v>
      </c>
      <c r="O136" s="61">
        <v>18.100000000000001</v>
      </c>
      <c r="P136" s="61">
        <v>33.5</v>
      </c>
      <c r="Q136" s="61" t="s">
        <v>140</v>
      </c>
      <c r="R136" s="61" t="s">
        <v>140</v>
      </c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59">
        <f t="shared" si="10"/>
        <v>45966</v>
      </c>
      <c r="AD136" s="57"/>
      <c r="AE136" s="59">
        <v>45965</v>
      </c>
      <c r="AF136" s="59">
        <v>45964</v>
      </c>
      <c r="AG136" s="60"/>
      <c r="AH136" s="57"/>
      <c r="AI136" s="34"/>
      <c r="AJ136" s="34"/>
    </row>
    <row r="137" spans="1:36" s="2" customFormat="1" ht="16.5" x14ac:dyDescent="0.3">
      <c r="A137" s="27">
        <v>45954</v>
      </c>
      <c r="B137" s="27">
        <v>45952</v>
      </c>
      <c r="C137" s="21" t="s">
        <v>49</v>
      </c>
      <c r="D137" s="57" t="s">
        <v>220</v>
      </c>
      <c r="E137" s="58" t="s">
        <v>378</v>
      </c>
      <c r="F137" s="58">
        <v>215</v>
      </c>
      <c r="G137" s="57" t="s">
        <v>457</v>
      </c>
      <c r="H137" s="57" t="s">
        <v>457</v>
      </c>
      <c r="I137" s="57" t="s">
        <v>457</v>
      </c>
      <c r="J137" s="57" t="s">
        <v>457</v>
      </c>
      <c r="K137" s="57" t="s">
        <v>140</v>
      </c>
      <c r="L137" s="61">
        <v>11.2</v>
      </c>
      <c r="M137" s="62">
        <v>3.97</v>
      </c>
      <c r="N137" s="61">
        <v>13.1</v>
      </c>
      <c r="O137" s="61">
        <v>22</v>
      </c>
      <c r="P137" s="61">
        <v>43.5</v>
      </c>
      <c r="Q137" s="61" t="s">
        <v>140</v>
      </c>
      <c r="R137" s="61" t="s">
        <v>140</v>
      </c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59">
        <f t="shared" si="10"/>
        <v>45966</v>
      </c>
      <c r="AD137" s="57"/>
      <c r="AE137" s="59">
        <v>45965</v>
      </c>
      <c r="AF137" s="59">
        <v>45964</v>
      </c>
      <c r="AG137" s="60"/>
      <c r="AH137" s="57"/>
      <c r="AI137" s="34"/>
      <c r="AJ137" s="34"/>
    </row>
    <row r="138" spans="1:36" s="2" customFormat="1" ht="16.5" x14ac:dyDescent="0.3">
      <c r="A138" s="27">
        <v>45954</v>
      </c>
      <c r="B138" s="27">
        <v>45952</v>
      </c>
      <c r="C138" s="21" t="s">
        <v>49</v>
      </c>
      <c r="D138" s="57" t="s">
        <v>221</v>
      </c>
      <c r="E138" s="58" t="s">
        <v>379</v>
      </c>
      <c r="F138" s="58" t="s">
        <v>140</v>
      </c>
      <c r="G138" s="57" t="s">
        <v>457</v>
      </c>
      <c r="H138" s="57" t="s">
        <v>457</v>
      </c>
      <c r="I138" s="57" t="s">
        <v>457</v>
      </c>
      <c r="J138" s="57" t="s">
        <v>457</v>
      </c>
      <c r="K138" s="57" t="s">
        <v>140</v>
      </c>
      <c r="L138" s="61">
        <v>15.6</v>
      </c>
      <c r="M138" s="62">
        <v>3.18</v>
      </c>
      <c r="N138" s="61">
        <v>20.6</v>
      </c>
      <c r="O138" s="61">
        <v>27.2</v>
      </c>
      <c r="P138" s="61">
        <v>57.2</v>
      </c>
      <c r="Q138" s="61" t="s">
        <v>140</v>
      </c>
      <c r="R138" s="61" t="s">
        <v>140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59">
        <f t="shared" si="10"/>
        <v>45966</v>
      </c>
      <c r="AD138" s="57"/>
      <c r="AE138" s="59">
        <v>45965</v>
      </c>
      <c r="AF138" s="59">
        <v>45964</v>
      </c>
      <c r="AG138" s="60"/>
      <c r="AH138" s="57"/>
      <c r="AI138" s="34"/>
      <c r="AJ138" s="34"/>
    </row>
    <row r="139" spans="1:36" s="2" customFormat="1" ht="16.5" x14ac:dyDescent="0.3">
      <c r="A139" s="27">
        <v>45954</v>
      </c>
      <c r="B139" s="27">
        <v>45952</v>
      </c>
      <c r="C139" s="21" t="s">
        <v>49</v>
      </c>
      <c r="D139" s="57" t="s">
        <v>222</v>
      </c>
      <c r="E139" s="58" t="s">
        <v>380</v>
      </c>
      <c r="F139" s="60"/>
      <c r="G139" s="60"/>
      <c r="H139" s="60"/>
      <c r="I139" s="60"/>
      <c r="J139" s="60"/>
      <c r="K139" s="57" t="s">
        <v>140</v>
      </c>
      <c r="L139" s="61">
        <v>15.5</v>
      </c>
      <c r="M139" s="61" t="s">
        <v>140</v>
      </c>
      <c r="N139" s="61">
        <v>14.2</v>
      </c>
      <c r="O139" s="61">
        <v>40.799999999999997</v>
      </c>
      <c r="P139" s="61">
        <v>62.7</v>
      </c>
      <c r="Q139" s="61" t="s">
        <v>140</v>
      </c>
      <c r="R139" s="61" t="s">
        <v>140</v>
      </c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59">
        <f t="shared" si="10"/>
        <v>45966</v>
      </c>
      <c r="AD139" s="57"/>
      <c r="AE139" s="60"/>
      <c r="AF139" s="59">
        <v>45964</v>
      </c>
      <c r="AG139" s="60"/>
      <c r="AH139" s="57"/>
      <c r="AI139" s="34"/>
      <c r="AJ139" s="34"/>
    </row>
    <row r="140" spans="1:36" s="2" customFormat="1" ht="16.5" x14ac:dyDescent="0.3">
      <c r="A140" s="27">
        <v>45954</v>
      </c>
      <c r="B140" s="27">
        <v>45952</v>
      </c>
      <c r="C140" s="21" t="s">
        <v>49</v>
      </c>
      <c r="D140" s="57" t="s">
        <v>223</v>
      </c>
      <c r="E140" s="58" t="s">
        <v>381</v>
      </c>
      <c r="F140" s="60"/>
      <c r="G140" s="60"/>
      <c r="H140" s="60"/>
      <c r="I140" s="60"/>
      <c r="J140" s="60"/>
      <c r="K140" s="57" t="s">
        <v>140</v>
      </c>
      <c r="L140" s="61">
        <v>16</v>
      </c>
      <c r="M140" s="62">
        <v>8.91</v>
      </c>
      <c r="N140" s="61">
        <v>13.5</v>
      </c>
      <c r="O140" s="61">
        <v>29.6</v>
      </c>
      <c r="P140" s="61">
        <v>54.6</v>
      </c>
      <c r="Q140" s="61" t="s">
        <v>140</v>
      </c>
      <c r="R140" s="61" t="s">
        <v>140</v>
      </c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59">
        <f t="shared" si="10"/>
        <v>45966</v>
      </c>
      <c r="AD140" s="57"/>
      <c r="AE140" s="60"/>
      <c r="AF140" s="59">
        <v>45965</v>
      </c>
      <c r="AG140" s="60"/>
      <c r="AH140" s="57"/>
      <c r="AI140" s="34"/>
      <c r="AJ140" s="34"/>
    </row>
    <row r="141" spans="1:36" s="2" customFormat="1" ht="16.5" x14ac:dyDescent="0.3">
      <c r="A141" s="27">
        <v>45954</v>
      </c>
      <c r="B141" s="27">
        <v>45952</v>
      </c>
      <c r="C141" s="21" t="s">
        <v>49</v>
      </c>
      <c r="D141" s="57" t="s">
        <v>224</v>
      </c>
      <c r="E141" s="58" t="s">
        <v>382</v>
      </c>
      <c r="F141" s="58" t="s">
        <v>140</v>
      </c>
      <c r="G141" s="57" t="s">
        <v>457</v>
      </c>
      <c r="H141" s="57" t="s">
        <v>457</v>
      </c>
      <c r="I141" s="57" t="s">
        <v>457</v>
      </c>
      <c r="J141" s="57" t="s">
        <v>457</v>
      </c>
      <c r="K141" s="57" t="s">
        <v>140</v>
      </c>
      <c r="L141" s="61">
        <v>17.600000000000001</v>
      </c>
      <c r="M141" s="62">
        <v>6.2</v>
      </c>
      <c r="N141" s="61">
        <v>11.4</v>
      </c>
      <c r="O141" s="61">
        <v>35.4</v>
      </c>
      <c r="P141" s="61">
        <v>62.1</v>
      </c>
      <c r="Q141" s="61" t="s">
        <v>140</v>
      </c>
      <c r="R141" s="61" t="s">
        <v>140</v>
      </c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59">
        <f t="shared" si="10"/>
        <v>45966</v>
      </c>
      <c r="AD141" s="57"/>
      <c r="AE141" s="59">
        <v>45965</v>
      </c>
      <c r="AF141" s="59">
        <v>45965</v>
      </c>
      <c r="AG141" s="60"/>
      <c r="AH141" s="57"/>
      <c r="AI141" s="34"/>
      <c r="AJ141" s="34"/>
    </row>
    <row r="142" spans="1:36" s="2" customFormat="1" ht="16.5" x14ac:dyDescent="0.3">
      <c r="A142" s="27">
        <v>45954</v>
      </c>
      <c r="B142" s="27">
        <v>45952</v>
      </c>
      <c r="C142" s="21" t="s">
        <v>49</v>
      </c>
      <c r="D142" s="57" t="s">
        <v>225</v>
      </c>
      <c r="E142" s="58" t="s">
        <v>383</v>
      </c>
      <c r="F142" s="58" t="s">
        <v>140</v>
      </c>
      <c r="G142" s="57" t="s">
        <v>457</v>
      </c>
      <c r="H142" s="57" t="s">
        <v>457</v>
      </c>
      <c r="I142" s="57" t="s">
        <v>457</v>
      </c>
      <c r="J142" s="57" t="s">
        <v>457</v>
      </c>
      <c r="K142" s="57" t="s">
        <v>140</v>
      </c>
      <c r="L142" s="61">
        <v>14.8</v>
      </c>
      <c r="M142" s="62">
        <v>6.32</v>
      </c>
      <c r="N142" s="61">
        <v>9.6999999999999993</v>
      </c>
      <c r="O142" s="61">
        <v>19.899999999999999</v>
      </c>
      <c r="P142" s="61">
        <v>36</v>
      </c>
      <c r="Q142" s="61" t="s">
        <v>140</v>
      </c>
      <c r="R142" s="61" t="s">
        <v>140</v>
      </c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59">
        <f t="shared" si="10"/>
        <v>45966</v>
      </c>
      <c r="AD142" s="57"/>
      <c r="AE142" s="59">
        <v>45965</v>
      </c>
      <c r="AF142" s="59">
        <v>45965</v>
      </c>
      <c r="AG142" s="60"/>
      <c r="AH142" s="57"/>
      <c r="AI142" s="34"/>
      <c r="AJ142" s="34"/>
    </row>
    <row r="143" spans="1:36" s="2" customFormat="1" ht="16.5" x14ac:dyDescent="0.3">
      <c r="A143" s="27">
        <v>45954</v>
      </c>
      <c r="B143" s="27">
        <v>45952</v>
      </c>
      <c r="C143" s="21" t="s">
        <v>49</v>
      </c>
      <c r="D143" s="57" t="s">
        <v>226</v>
      </c>
      <c r="E143" s="58" t="s">
        <v>384</v>
      </c>
      <c r="F143" s="58" t="s">
        <v>140</v>
      </c>
      <c r="G143" s="57" t="s">
        <v>457</v>
      </c>
      <c r="H143" s="57" t="s">
        <v>457</v>
      </c>
      <c r="I143" s="57" t="s">
        <v>457</v>
      </c>
      <c r="J143" s="57" t="s">
        <v>457</v>
      </c>
      <c r="K143" s="57" t="s">
        <v>140</v>
      </c>
      <c r="L143" s="61">
        <v>13.8</v>
      </c>
      <c r="M143" s="62">
        <v>4.03</v>
      </c>
      <c r="N143" s="61">
        <v>9.9</v>
      </c>
      <c r="O143" s="61">
        <v>22.7</v>
      </c>
      <c r="P143" s="61">
        <v>40.299999999999997</v>
      </c>
      <c r="Q143" s="61" t="s">
        <v>140</v>
      </c>
      <c r="R143" s="61" t="s">
        <v>140</v>
      </c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59">
        <f t="shared" si="10"/>
        <v>45966</v>
      </c>
      <c r="AD143" s="57"/>
      <c r="AE143" s="59">
        <v>45965</v>
      </c>
      <c r="AF143" s="59">
        <v>45965</v>
      </c>
      <c r="AG143" s="60"/>
      <c r="AH143" s="57"/>
      <c r="AI143" s="34"/>
      <c r="AJ143" s="34"/>
    </row>
    <row r="144" spans="1:36" s="2" customFormat="1" ht="16.5" x14ac:dyDescent="0.3">
      <c r="A144" s="27">
        <v>45954</v>
      </c>
      <c r="B144" s="27">
        <v>45952</v>
      </c>
      <c r="C144" s="21" t="s">
        <v>49</v>
      </c>
      <c r="D144" s="57" t="s">
        <v>227</v>
      </c>
      <c r="E144" s="58" t="s">
        <v>385</v>
      </c>
      <c r="F144" s="58" t="s">
        <v>140</v>
      </c>
      <c r="G144" s="57" t="s">
        <v>457</v>
      </c>
      <c r="H144" s="57" t="s">
        <v>457</v>
      </c>
      <c r="I144" s="57" t="s">
        <v>457</v>
      </c>
      <c r="J144" s="57" t="s">
        <v>457</v>
      </c>
      <c r="K144" s="57" t="s">
        <v>140</v>
      </c>
      <c r="L144" s="61">
        <v>15</v>
      </c>
      <c r="M144" s="62">
        <v>7.14</v>
      </c>
      <c r="N144" s="61">
        <v>24.9</v>
      </c>
      <c r="O144" s="61">
        <v>22.4</v>
      </c>
      <c r="P144" s="61">
        <v>47.4</v>
      </c>
      <c r="Q144" s="61" t="s">
        <v>140</v>
      </c>
      <c r="R144" s="61" t="s">
        <v>140</v>
      </c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59">
        <f t="shared" si="10"/>
        <v>45966</v>
      </c>
      <c r="AD144" s="57"/>
      <c r="AE144" s="59">
        <v>45965</v>
      </c>
      <c r="AF144" s="59">
        <v>45965</v>
      </c>
      <c r="AG144" s="60"/>
      <c r="AH144" s="57"/>
      <c r="AI144" s="34"/>
      <c r="AJ144" s="34"/>
    </row>
    <row r="145" spans="1:36" s="2" customFormat="1" ht="16.5" x14ac:dyDescent="0.3">
      <c r="A145" s="27">
        <v>45954</v>
      </c>
      <c r="B145" s="27">
        <v>45952</v>
      </c>
      <c r="C145" s="21" t="s">
        <v>49</v>
      </c>
      <c r="D145" s="57" t="s">
        <v>228</v>
      </c>
      <c r="E145" s="58" t="s">
        <v>386</v>
      </c>
      <c r="F145" s="60"/>
      <c r="G145" s="60"/>
      <c r="H145" s="60"/>
      <c r="I145" s="60"/>
      <c r="J145" s="60"/>
      <c r="K145" s="57" t="s">
        <v>140</v>
      </c>
      <c r="L145" s="61">
        <v>15.5</v>
      </c>
      <c r="M145" s="62">
        <v>4.83</v>
      </c>
      <c r="N145" s="61">
        <v>18.2</v>
      </c>
      <c r="O145" s="61">
        <v>29.6</v>
      </c>
      <c r="P145" s="61">
        <v>57.4</v>
      </c>
      <c r="Q145" s="61" t="s">
        <v>140</v>
      </c>
      <c r="R145" s="61" t="s">
        <v>140</v>
      </c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59">
        <f t="shared" si="10"/>
        <v>45966</v>
      </c>
      <c r="AD145" s="57"/>
      <c r="AE145" s="60"/>
      <c r="AF145" s="59">
        <v>45965</v>
      </c>
      <c r="AG145" s="60"/>
      <c r="AH145" s="57"/>
      <c r="AI145" s="34"/>
      <c r="AJ145" s="34"/>
    </row>
    <row r="146" spans="1:36" s="2" customFormat="1" ht="16.5" x14ac:dyDescent="0.3">
      <c r="A146" s="27">
        <v>45954</v>
      </c>
      <c r="B146" s="27">
        <v>45952</v>
      </c>
      <c r="C146" s="21" t="s">
        <v>49</v>
      </c>
      <c r="D146" s="57" t="s">
        <v>229</v>
      </c>
      <c r="E146" s="58" t="s">
        <v>387</v>
      </c>
      <c r="F146" s="60"/>
      <c r="G146" s="60"/>
      <c r="H146" s="60"/>
      <c r="I146" s="60"/>
      <c r="J146" s="60"/>
      <c r="K146" s="57" t="s">
        <v>140</v>
      </c>
      <c r="L146" s="61">
        <v>12.2</v>
      </c>
      <c r="M146" s="62">
        <v>4.46</v>
      </c>
      <c r="N146" s="61">
        <v>15</v>
      </c>
      <c r="O146" s="61">
        <v>30.2</v>
      </c>
      <c r="P146" s="61">
        <v>50.2</v>
      </c>
      <c r="Q146" s="61" t="s">
        <v>140</v>
      </c>
      <c r="R146" s="61" t="s">
        <v>140</v>
      </c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59">
        <f t="shared" si="10"/>
        <v>45966</v>
      </c>
      <c r="AD146" s="57"/>
      <c r="AE146" s="60"/>
      <c r="AF146" s="59">
        <v>45965</v>
      </c>
      <c r="AG146" s="60"/>
      <c r="AH146" s="57"/>
      <c r="AI146" s="34"/>
      <c r="AJ146" s="34"/>
    </row>
    <row r="147" spans="1:36" s="2" customFormat="1" ht="16.5" x14ac:dyDescent="0.3">
      <c r="A147" s="27">
        <v>45954</v>
      </c>
      <c r="B147" s="27">
        <v>45952</v>
      </c>
      <c r="C147" s="21" t="s">
        <v>49</v>
      </c>
      <c r="D147" s="57" t="s">
        <v>391</v>
      </c>
      <c r="E147" s="58" t="s">
        <v>392</v>
      </c>
      <c r="F147" s="60"/>
      <c r="G147" s="60"/>
      <c r="H147" s="60"/>
      <c r="I147" s="60"/>
      <c r="J147" s="60"/>
      <c r="K147" s="57" t="s">
        <v>140</v>
      </c>
      <c r="L147" s="61">
        <v>11.5</v>
      </c>
      <c r="M147" s="62">
        <v>4.16</v>
      </c>
      <c r="N147" s="61">
        <v>14.4</v>
      </c>
      <c r="O147" s="61">
        <v>28.9</v>
      </c>
      <c r="P147" s="61">
        <v>48</v>
      </c>
      <c r="Q147" s="61" t="s">
        <v>140</v>
      </c>
      <c r="R147" s="61" t="s">
        <v>140</v>
      </c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59">
        <f t="shared" ref="AC147:AC150" si="11">B147+14</f>
        <v>45966</v>
      </c>
      <c r="AD147" s="57"/>
      <c r="AE147" s="60"/>
      <c r="AF147" s="59">
        <v>45965</v>
      </c>
      <c r="AG147" s="60"/>
      <c r="AH147" s="57"/>
      <c r="AI147" s="34"/>
      <c r="AJ147" s="34"/>
    </row>
    <row r="148" spans="1:36" s="2" customFormat="1" ht="16.5" x14ac:dyDescent="0.3">
      <c r="A148" s="27">
        <v>45954</v>
      </c>
      <c r="B148" s="27">
        <v>45952</v>
      </c>
      <c r="C148" s="21" t="s">
        <v>49</v>
      </c>
      <c r="D148" s="57" t="s">
        <v>230</v>
      </c>
      <c r="E148" s="58" t="s">
        <v>388</v>
      </c>
      <c r="F148" s="58" t="s">
        <v>140</v>
      </c>
      <c r="G148" s="57" t="s">
        <v>457</v>
      </c>
      <c r="H148" s="57" t="s">
        <v>457</v>
      </c>
      <c r="I148" s="57" t="s">
        <v>457</v>
      </c>
      <c r="J148" s="57" t="s">
        <v>457</v>
      </c>
      <c r="K148" s="57" t="s">
        <v>140</v>
      </c>
      <c r="L148" s="61">
        <v>11.4</v>
      </c>
      <c r="M148" s="62">
        <v>4.2</v>
      </c>
      <c r="N148" s="61">
        <v>15.8</v>
      </c>
      <c r="O148" s="61">
        <v>29.8</v>
      </c>
      <c r="P148" s="61">
        <v>47.7</v>
      </c>
      <c r="Q148" s="61" t="s">
        <v>140</v>
      </c>
      <c r="R148" s="61" t="s">
        <v>140</v>
      </c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59">
        <f t="shared" si="11"/>
        <v>45966</v>
      </c>
      <c r="AD148" s="57"/>
      <c r="AE148" s="59">
        <v>45965</v>
      </c>
      <c r="AF148" s="59">
        <v>45965</v>
      </c>
      <c r="AG148" s="60"/>
      <c r="AH148" s="57"/>
      <c r="AI148" s="34"/>
      <c r="AJ148" s="34"/>
    </row>
    <row r="149" spans="1:36" s="2" customFormat="1" ht="16.5" x14ac:dyDescent="0.3">
      <c r="A149" s="27">
        <v>45954</v>
      </c>
      <c r="B149" s="27">
        <v>45952</v>
      </c>
      <c r="C149" s="21" t="s">
        <v>49</v>
      </c>
      <c r="D149" s="57" t="s">
        <v>231</v>
      </c>
      <c r="E149" s="58" t="s">
        <v>389</v>
      </c>
      <c r="F149" s="58" t="s">
        <v>140</v>
      </c>
      <c r="G149" s="57" t="s">
        <v>457</v>
      </c>
      <c r="H149" s="57" t="s">
        <v>457</v>
      </c>
      <c r="I149" s="57" t="s">
        <v>457</v>
      </c>
      <c r="J149" s="57" t="s">
        <v>457</v>
      </c>
      <c r="K149" s="57" t="s">
        <v>140</v>
      </c>
      <c r="L149" s="61">
        <v>19.899999999999999</v>
      </c>
      <c r="M149" s="62">
        <v>8.64</v>
      </c>
      <c r="N149" s="61">
        <v>17</v>
      </c>
      <c r="O149" s="61">
        <v>29.2</v>
      </c>
      <c r="P149" s="61">
        <v>59.4</v>
      </c>
      <c r="Q149" s="61" t="s">
        <v>140</v>
      </c>
      <c r="R149" s="61" t="s">
        <v>140</v>
      </c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59">
        <f t="shared" si="11"/>
        <v>45966</v>
      </c>
      <c r="AD149" s="57"/>
      <c r="AE149" s="59">
        <v>45965</v>
      </c>
      <c r="AF149" s="59">
        <v>45965</v>
      </c>
      <c r="AG149" s="60"/>
      <c r="AH149" s="57"/>
      <c r="AI149" s="34"/>
      <c r="AJ149" s="34"/>
    </row>
    <row r="150" spans="1:36" s="2" customFormat="1" ht="16.5" x14ac:dyDescent="0.3">
      <c r="A150" s="27">
        <v>45954</v>
      </c>
      <c r="B150" s="27">
        <v>45952</v>
      </c>
      <c r="C150" s="21" t="s">
        <v>49</v>
      </c>
      <c r="D150" s="57" t="s">
        <v>232</v>
      </c>
      <c r="E150" s="58" t="s">
        <v>390</v>
      </c>
      <c r="F150" s="58" t="s">
        <v>140</v>
      </c>
      <c r="G150" s="57" t="s">
        <v>457</v>
      </c>
      <c r="H150" s="57" t="s">
        <v>457</v>
      </c>
      <c r="I150" s="57" t="s">
        <v>457</v>
      </c>
      <c r="J150" s="57" t="s">
        <v>457</v>
      </c>
      <c r="K150" s="57" t="s">
        <v>140</v>
      </c>
      <c r="L150" s="61">
        <v>18.3</v>
      </c>
      <c r="M150" s="62">
        <v>7.37</v>
      </c>
      <c r="N150" s="61">
        <v>16</v>
      </c>
      <c r="O150" s="61">
        <v>25.7</v>
      </c>
      <c r="P150" s="61">
        <v>49.2</v>
      </c>
      <c r="Q150" s="61" t="s">
        <v>140</v>
      </c>
      <c r="R150" s="61" t="s">
        <v>140</v>
      </c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59">
        <f t="shared" si="11"/>
        <v>45966</v>
      </c>
      <c r="AD150" s="57"/>
      <c r="AE150" s="59">
        <v>45965</v>
      </c>
      <c r="AF150" s="59">
        <v>45965</v>
      </c>
      <c r="AG150" s="60"/>
      <c r="AH150" s="57"/>
      <c r="AI150" s="34"/>
      <c r="AJ150" s="34"/>
    </row>
    <row r="151" spans="1:36" s="2" customFormat="1" ht="16.5" x14ac:dyDescent="0.3">
      <c r="A151" s="27">
        <v>45954</v>
      </c>
      <c r="B151" s="27">
        <v>45952</v>
      </c>
      <c r="C151" s="21" t="s">
        <v>49</v>
      </c>
      <c r="D151" s="57" t="s">
        <v>233</v>
      </c>
      <c r="E151" s="58" t="s">
        <v>393</v>
      </c>
      <c r="F151" s="60"/>
      <c r="G151" s="60"/>
      <c r="H151" s="60"/>
      <c r="I151" s="60"/>
      <c r="J151" s="60"/>
      <c r="K151" s="57" t="s">
        <v>140</v>
      </c>
      <c r="L151" s="61">
        <v>125.1</v>
      </c>
      <c r="M151" s="62">
        <v>7.49</v>
      </c>
      <c r="N151" s="67">
        <v>1040.9000000000001</v>
      </c>
      <c r="O151" s="61">
        <v>33.200000000000003</v>
      </c>
      <c r="P151" s="61">
        <v>73.599999999999994</v>
      </c>
      <c r="Q151" s="61" t="s">
        <v>140</v>
      </c>
      <c r="R151" s="61" t="s">
        <v>140</v>
      </c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59">
        <f t="shared" ref="AC151:AC194" si="12">B151+14</f>
        <v>45966</v>
      </c>
      <c r="AD151" s="57"/>
      <c r="AE151" s="60"/>
      <c r="AF151" s="59">
        <v>45965</v>
      </c>
      <c r="AG151" s="60"/>
      <c r="AH151" s="57"/>
      <c r="AI151" s="34"/>
      <c r="AJ151" s="34"/>
    </row>
    <row r="152" spans="1:36" s="2" customFormat="1" ht="16.5" x14ac:dyDescent="0.3">
      <c r="A152" s="27">
        <v>45954</v>
      </c>
      <c r="B152" s="27">
        <v>45952</v>
      </c>
      <c r="C152" s="21" t="s">
        <v>49</v>
      </c>
      <c r="D152" s="57" t="s">
        <v>234</v>
      </c>
      <c r="E152" s="58" t="s">
        <v>394</v>
      </c>
      <c r="F152" s="60"/>
      <c r="G152" s="60"/>
      <c r="H152" s="60"/>
      <c r="I152" s="60"/>
      <c r="J152" s="60"/>
      <c r="K152" s="57" t="s">
        <v>140</v>
      </c>
      <c r="L152" s="61">
        <v>19.2</v>
      </c>
      <c r="M152" s="62">
        <v>5.49</v>
      </c>
      <c r="N152" s="61">
        <v>57.5</v>
      </c>
      <c r="O152" s="61">
        <v>33.4</v>
      </c>
      <c r="P152" s="61">
        <v>48</v>
      </c>
      <c r="Q152" s="61" t="s">
        <v>140</v>
      </c>
      <c r="R152" s="61" t="s">
        <v>140</v>
      </c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59">
        <f t="shared" si="12"/>
        <v>45966</v>
      </c>
      <c r="AD152" s="57"/>
      <c r="AE152" s="60"/>
      <c r="AF152" s="59">
        <v>45965</v>
      </c>
      <c r="AG152" s="60"/>
      <c r="AH152" s="57"/>
      <c r="AI152" s="34"/>
      <c r="AJ152" s="34"/>
    </row>
    <row r="153" spans="1:36" s="2" customFormat="1" ht="16.5" x14ac:dyDescent="0.3">
      <c r="A153" s="27">
        <v>45954</v>
      </c>
      <c r="B153" s="27">
        <v>45952</v>
      </c>
      <c r="C153" s="21" t="s">
        <v>49</v>
      </c>
      <c r="D153" s="57" t="s">
        <v>235</v>
      </c>
      <c r="E153" s="58" t="s">
        <v>395</v>
      </c>
      <c r="F153" s="60"/>
      <c r="G153" s="60"/>
      <c r="H153" s="60"/>
      <c r="I153" s="60"/>
      <c r="J153" s="60"/>
      <c r="K153" s="57" t="s">
        <v>140</v>
      </c>
      <c r="L153" s="61">
        <v>16.7</v>
      </c>
      <c r="M153" s="62">
        <v>4.2699999999999996</v>
      </c>
      <c r="N153" s="61">
        <v>24</v>
      </c>
      <c r="O153" s="61">
        <v>27.6</v>
      </c>
      <c r="P153" s="61">
        <v>41</v>
      </c>
      <c r="Q153" s="61" t="s">
        <v>140</v>
      </c>
      <c r="R153" s="61" t="s">
        <v>140</v>
      </c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59">
        <f t="shared" si="12"/>
        <v>45966</v>
      </c>
      <c r="AD153" s="57"/>
      <c r="AE153" s="60"/>
      <c r="AF153" s="59">
        <v>45965</v>
      </c>
      <c r="AG153" s="60"/>
      <c r="AH153" s="57"/>
      <c r="AI153" s="34"/>
      <c r="AJ153" s="34"/>
    </row>
    <row r="154" spans="1:36" s="2" customFormat="1" ht="16.5" x14ac:dyDescent="0.3">
      <c r="A154" s="27">
        <v>45954</v>
      </c>
      <c r="B154" s="27">
        <v>45952</v>
      </c>
      <c r="C154" s="21" t="s">
        <v>49</v>
      </c>
      <c r="D154" s="57" t="s">
        <v>236</v>
      </c>
      <c r="E154" s="58" t="s">
        <v>396</v>
      </c>
      <c r="F154" s="60"/>
      <c r="G154" s="60"/>
      <c r="H154" s="60"/>
      <c r="I154" s="60"/>
      <c r="J154" s="60"/>
      <c r="K154" s="57" t="s">
        <v>140</v>
      </c>
      <c r="L154" s="61">
        <v>16.7</v>
      </c>
      <c r="M154" s="62">
        <v>5.75</v>
      </c>
      <c r="N154" s="61">
        <v>19.3</v>
      </c>
      <c r="O154" s="61">
        <v>27.7</v>
      </c>
      <c r="P154" s="61">
        <v>41.6</v>
      </c>
      <c r="Q154" s="61" t="s">
        <v>140</v>
      </c>
      <c r="R154" s="61" t="s">
        <v>140</v>
      </c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59">
        <f t="shared" si="12"/>
        <v>45966</v>
      </c>
      <c r="AD154" s="57"/>
      <c r="AE154" s="60"/>
      <c r="AF154" s="59">
        <v>45965</v>
      </c>
      <c r="AG154" s="60"/>
      <c r="AH154" s="57"/>
      <c r="AI154" s="34"/>
      <c r="AJ154" s="34"/>
    </row>
    <row r="155" spans="1:36" s="2" customFormat="1" ht="16.5" x14ac:dyDescent="0.3">
      <c r="A155" s="27">
        <v>45954</v>
      </c>
      <c r="B155" s="27">
        <v>45952</v>
      </c>
      <c r="C155" s="21" t="s">
        <v>49</v>
      </c>
      <c r="D155" s="57" t="s">
        <v>237</v>
      </c>
      <c r="E155" s="58" t="s">
        <v>397</v>
      </c>
      <c r="F155" s="60"/>
      <c r="G155" s="60"/>
      <c r="H155" s="60"/>
      <c r="I155" s="60"/>
      <c r="J155" s="60"/>
      <c r="K155" s="57" t="s">
        <v>140</v>
      </c>
      <c r="L155" s="61">
        <v>15.3</v>
      </c>
      <c r="M155" s="62">
        <v>4.54</v>
      </c>
      <c r="N155" s="61">
        <v>16</v>
      </c>
      <c r="O155" s="61">
        <v>26.9</v>
      </c>
      <c r="P155" s="61">
        <v>41.7</v>
      </c>
      <c r="Q155" s="61" t="s">
        <v>140</v>
      </c>
      <c r="R155" s="61" t="s">
        <v>140</v>
      </c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59">
        <f t="shared" si="12"/>
        <v>45966</v>
      </c>
      <c r="AD155" s="57"/>
      <c r="AE155" s="60"/>
      <c r="AF155" s="59">
        <v>45965</v>
      </c>
      <c r="AG155" s="60"/>
      <c r="AH155" s="57"/>
      <c r="AI155" s="34"/>
      <c r="AJ155" s="34"/>
    </row>
    <row r="156" spans="1:36" s="2" customFormat="1" ht="16.5" x14ac:dyDescent="0.3">
      <c r="A156" s="27">
        <v>45954</v>
      </c>
      <c r="B156" s="27">
        <v>45952</v>
      </c>
      <c r="C156" s="21" t="s">
        <v>49</v>
      </c>
      <c r="D156" s="57" t="s">
        <v>238</v>
      </c>
      <c r="E156" s="58" t="s">
        <v>398</v>
      </c>
      <c r="F156" s="60"/>
      <c r="G156" s="60"/>
      <c r="H156" s="60"/>
      <c r="I156" s="60"/>
      <c r="J156" s="60"/>
      <c r="K156" s="57" t="s">
        <v>140</v>
      </c>
      <c r="L156" s="61">
        <v>13.3</v>
      </c>
      <c r="M156" s="62">
        <v>4.97</v>
      </c>
      <c r="N156" s="61">
        <v>12.9</v>
      </c>
      <c r="O156" s="61">
        <v>24.7</v>
      </c>
      <c r="P156" s="61">
        <v>40.4</v>
      </c>
      <c r="Q156" s="61" t="s">
        <v>140</v>
      </c>
      <c r="R156" s="61" t="s">
        <v>140</v>
      </c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59">
        <f t="shared" si="12"/>
        <v>45966</v>
      </c>
      <c r="AD156" s="57"/>
      <c r="AE156" s="60"/>
      <c r="AF156" s="59">
        <v>45965</v>
      </c>
      <c r="AG156" s="60"/>
      <c r="AH156" s="57"/>
      <c r="AI156" s="34"/>
      <c r="AJ156" s="34"/>
    </row>
    <row r="157" spans="1:36" s="2" customFormat="1" ht="16.5" x14ac:dyDescent="0.3">
      <c r="A157" s="27">
        <v>45954</v>
      </c>
      <c r="B157" s="27">
        <v>45952</v>
      </c>
      <c r="C157" s="21" t="s">
        <v>49</v>
      </c>
      <c r="D157" s="57" t="s">
        <v>239</v>
      </c>
      <c r="E157" s="58" t="s">
        <v>399</v>
      </c>
      <c r="F157" s="60"/>
      <c r="G157" s="60"/>
      <c r="H157" s="60"/>
      <c r="I157" s="60"/>
      <c r="J157" s="60"/>
      <c r="K157" s="57" t="s">
        <v>140</v>
      </c>
      <c r="L157" s="61">
        <v>16.7</v>
      </c>
      <c r="M157" s="62">
        <v>6.37</v>
      </c>
      <c r="N157" s="61">
        <v>15.3</v>
      </c>
      <c r="O157" s="61">
        <v>26.5</v>
      </c>
      <c r="P157" s="61">
        <v>40.200000000000003</v>
      </c>
      <c r="Q157" s="61" t="s">
        <v>140</v>
      </c>
      <c r="R157" s="61" t="s">
        <v>140</v>
      </c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59">
        <f t="shared" si="12"/>
        <v>45966</v>
      </c>
      <c r="AD157" s="57"/>
      <c r="AE157" s="60"/>
      <c r="AF157" s="59">
        <v>45965</v>
      </c>
      <c r="AG157" s="60"/>
      <c r="AH157" s="57"/>
      <c r="AI157" s="34"/>
      <c r="AJ157" s="34"/>
    </row>
    <row r="158" spans="1:36" s="2" customFormat="1" ht="16.5" x14ac:dyDescent="0.3">
      <c r="A158" s="27">
        <v>45954</v>
      </c>
      <c r="B158" s="27">
        <v>45952</v>
      </c>
      <c r="C158" s="21" t="s">
        <v>49</v>
      </c>
      <c r="D158" s="57" t="s">
        <v>240</v>
      </c>
      <c r="E158" s="58" t="s">
        <v>400</v>
      </c>
      <c r="F158" s="60"/>
      <c r="G158" s="60"/>
      <c r="H158" s="60"/>
      <c r="I158" s="60"/>
      <c r="J158" s="60"/>
      <c r="K158" s="57" t="s">
        <v>140</v>
      </c>
      <c r="L158" s="61">
        <v>7.6</v>
      </c>
      <c r="M158" s="62">
        <v>5.0599999999999996</v>
      </c>
      <c r="N158" s="61">
        <v>17.7</v>
      </c>
      <c r="O158" s="61">
        <v>32</v>
      </c>
      <c r="P158" s="61">
        <v>49.5</v>
      </c>
      <c r="Q158" s="61" t="s">
        <v>140</v>
      </c>
      <c r="R158" s="61" t="s">
        <v>140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59">
        <f t="shared" si="12"/>
        <v>45966</v>
      </c>
      <c r="AD158" s="57"/>
      <c r="AE158" s="60"/>
      <c r="AF158" s="59">
        <v>45965</v>
      </c>
      <c r="AG158" s="60"/>
      <c r="AH158" s="57"/>
      <c r="AI158" s="34"/>
      <c r="AJ158" s="34"/>
    </row>
    <row r="159" spans="1:36" s="2" customFormat="1" ht="16.5" x14ac:dyDescent="0.3">
      <c r="A159" s="27">
        <v>45954</v>
      </c>
      <c r="B159" s="27">
        <v>45952</v>
      </c>
      <c r="C159" s="21" t="s">
        <v>49</v>
      </c>
      <c r="D159" s="57" t="s">
        <v>241</v>
      </c>
      <c r="E159" s="58" t="s">
        <v>401</v>
      </c>
      <c r="F159" s="60"/>
      <c r="G159" s="60"/>
      <c r="H159" s="60"/>
      <c r="I159" s="60"/>
      <c r="J159" s="60"/>
      <c r="K159" s="57" t="s">
        <v>140</v>
      </c>
      <c r="L159" s="61">
        <v>21.6</v>
      </c>
      <c r="M159" s="62">
        <v>6.5</v>
      </c>
      <c r="N159" s="61">
        <v>54.7</v>
      </c>
      <c r="O159" s="61">
        <v>31.8</v>
      </c>
      <c r="P159" s="61">
        <v>51.6</v>
      </c>
      <c r="Q159" s="61" t="s">
        <v>140</v>
      </c>
      <c r="R159" s="61" t="s">
        <v>140</v>
      </c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59">
        <f t="shared" si="12"/>
        <v>45966</v>
      </c>
      <c r="AD159" s="57"/>
      <c r="AE159" s="60"/>
      <c r="AF159" s="59">
        <v>45965</v>
      </c>
      <c r="AG159" s="60"/>
      <c r="AH159" s="57"/>
      <c r="AI159" s="34"/>
      <c r="AJ159" s="34"/>
    </row>
    <row r="160" spans="1:36" s="2" customFormat="1" ht="16.5" x14ac:dyDescent="0.3">
      <c r="A160" s="27">
        <v>45954</v>
      </c>
      <c r="B160" s="27">
        <v>45952</v>
      </c>
      <c r="C160" s="21" t="s">
        <v>49</v>
      </c>
      <c r="D160" s="57" t="s">
        <v>242</v>
      </c>
      <c r="E160" s="58" t="s">
        <v>402</v>
      </c>
      <c r="F160" s="60"/>
      <c r="G160" s="60"/>
      <c r="H160" s="60"/>
      <c r="I160" s="60"/>
      <c r="J160" s="60"/>
      <c r="K160" s="57" t="s">
        <v>140</v>
      </c>
      <c r="L160" s="61">
        <v>16.2</v>
      </c>
      <c r="M160" s="62">
        <v>7.2039726121308734</v>
      </c>
      <c r="N160" s="61">
        <v>19.899999999999999</v>
      </c>
      <c r="O160" s="61">
        <v>35.200000000000003</v>
      </c>
      <c r="P160" s="61">
        <v>49.8</v>
      </c>
      <c r="Q160" s="61" t="s">
        <v>140</v>
      </c>
      <c r="R160" s="61" t="s">
        <v>140</v>
      </c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59">
        <f t="shared" si="12"/>
        <v>45966</v>
      </c>
      <c r="AD160" s="57"/>
      <c r="AE160" s="60"/>
      <c r="AF160" s="59">
        <v>45965</v>
      </c>
      <c r="AG160" s="60"/>
      <c r="AH160" s="57"/>
      <c r="AI160" s="34"/>
      <c r="AJ160" s="34"/>
    </row>
    <row r="161" spans="1:36" s="2" customFormat="1" ht="16.5" x14ac:dyDescent="0.3">
      <c r="A161" s="27">
        <v>45954</v>
      </c>
      <c r="B161" s="27">
        <v>45952</v>
      </c>
      <c r="C161" s="21" t="s">
        <v>49</v>
      </c>
      <c r="D161" s="57" t="s">
        <v>243</v>
      </c>
      <c r="E161" s="58" t="s">
        <v>403</v>
      </c>
      <c r="F161" s="60"/>
      <c r="G161" s="60"/>
      <c r="H161" s="60"/>
      <c r="I161" s="60"/>
      <c r="J161" s="60"/>
      <c r="K161" s="57" t="s">
        <v>140</v>
      </c>
      <c r="L161" s="61">
        <v>15.4</v>
      </c>
      <c r="M161" s="62">
        <v>6.8280647978342488</v>
      </c>
      <c r="N161" s="61">
        <v>13.3</v>
      </c>
      <c r="O161" s="61">
        <v>34.1</v>
      </c>
      <c r="P161" s="61">
        <v>48.3</v>
      </c>
      <c r="Q161" s="61" t="s">
        <v>140</v>
      </c>
      <c r="R161" s="61" t="s">
        <v>140</v>
      </c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59">
        <f t="shared" si="12"/>
        <v>45966</v>
      </c>
      <c r="AD161" s="57"/>
      <c r="AE161" s="60"/>
      <c r="AF161" s="59">
        <v>45965</v>
      </c>
      <c r="AG161" s="60"/>
      <c r="AH161" s="57"/>
      <c r="AI161" s="34"/>
      <c r="AJ161" s="34"/>
    </row>
    <row r="162" spans="1:36" s="2" customFormat="1" ht="16.5" x14ac:dyDescent="0.3">
      <c r="A162" s="27">
        <v>45954</v>
      </c>
      <c r="B162" s="27">
        <v>45952</v>
      </c>
      <c r="C162" s="21" t="s">
        <v>49</v>
      </c>
      <c r="D162" s="57" t="s">
        <v>244</v>
      </c>
      <c r="E162" s="58" t="s">
        <v>404</v>
      </c>
      <c r="F162" s="60"/>
      <c r="G162" s="60"/>
      <c r="H162" s="60"/>
      <c r="I162" s="60"/>
      <c r="J162" s="60"/>
      <c r="K162" s="57" t="s">
        <v>140</v>
      </c>
      <c r="L162" s="61">
        <v>13.8</v>
      </c>
      <c r="M162" s="62">
        <v>6.1344927037970809</v>
      </c>
      <c r="N162" s="61">
        <v>11.8</v>
      </c>
      <c r="O162" s="61">
        <v>34.200000000000003</v>
      </c>
      <c r="P162" s="61">
        <v>45.7</v>
      </c>
      <c r="Q162" s="61" t="s">
        <v>140</v>
      </c>
      <c r="R162" s="61" t="s">
        <v>140</v>
      </c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59">
        <f t="shared" si="12"/>
        <v>45966</v>
      </c>
      <c r="AD162" s="57"/>
      <c r="AE162" s="60"/>
      <c r="AF162" s="59">
        <v>45965</v>
      </c>
      <c r="AG162" s="60"/>
      <c r="AH162" s="57"/>
      <c r="AI162" s="34"/>
      <c r="AJ162" s="34"/>
    </row>
    <row r="163" spans="1:36" s="2" customFormat="1" ht="16.5" x14ac:dyDescent="0.3">
      <c r="A163" s="27">
        <v>45954</v>
      </c>
      <c r="B163" s="27">
        <v>45952</v>
      </c>
      <c r="C163" s="21" t="s">
        <v>49</v>
      </c>
      <c r="D163" s="57" t="s">
        <v>245</v>
      </c>
      <c r="E163" s="58" t="s">
        <v>405</v>
      </c>
      <c r="F163" s="60"/>
      <c r="G163" s="60"/>
      <c r="H163" s="60"/>
      <c r="I163" s="60"/>
      <c r="J163" s="60"/>
      <c r="K163" s="57" t="s">
        <v>140</v>
      </c>
      <c r="L163" s="61">
        <v>13.6</v>
      </c>
      <c r="M163" s="62">
        <v>5.1126861573251494</v>
      </c>
      <c r="N163" s="61">
        <v>14.8</v>
      </c>
      <c r="O163" s="61">
        <v>31.1</v>
      </c>
      <c r="P163" s="61">
        <v>45.6</v>
      </c>
      <c r="Q163" s="61" t="s">
        <v>140</v>
      </c>
      <c r="R163" s="61" t="s">
        <v>140</v>
      </c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59">
        <f t="shared" si="12"/>
        <v>45966</v>
      </c>
      <c r="AD163" s="57"/>
      <c r="AE163" s="60"/>
      <c r="AF163" s="59">
        <v>45965</v>
      </c>
      <c r="AG163" s="60"/>
      <c r="AH163" s="57"/>
      <c r="AI163" s="34"/>
      <c r="AJ163" s="34"/>
    </row>
    <row r="164" spans="1:36" s="2" customFormat="1" ht="16.5" x14ac:dyDescent="0.3">
      <c r="A164" s="27">
        <v>45954</v>
      </c>
      <c r="B164" s="27">
        <v>45952</v>
      </c>
      <c r="C164" s="21" t="s">
        <v>49</v>
      </c>
      <c r="D164" s="57" t="s">
        <v>246</v>
      </c>
      <c r="E164" s="58" t="s">
        <v>406</v>
      </c>
      <c r="F164" s="60"/>
      <c r="G164" s="60"/>
      <c r="H164" s="60"/>
      <c r="I164" s="60"/>
      <c r="J164" s="60"/>
      <c r="K164" s="57" t="s">
        <v>140</v>
      </c>
      <c r="L164" s="61">
        <v>12.8</v>
      </c>
      <c r="M164" s="62">
        <v>3.5043572304248167</v>
      </c>
      <c r="N164" s="61">
        <v>13.1</v>
      </c>
      <c r="O164" s="61">
        <v>23.4</v>
      </c>
      <c r="P164" s="61">
        <v>39.5</v>
      </c>
      <c r="Q164" s="61" t="s">
        <v>140</v>
      </c>
      <c r="R164" s="61" t="s">
        <v>140</v>
      </c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59">
        <f t="shared" si="12"/>
        <v>45966</v>
      </c>
      <c r="AD164" s="57"/>
      <c r="AE164" s="60"/>
      <c r="AF164" s="59">
        <v>45965</v>
      </c>
      <c r="AG164" s="60"/>
      <c r="AH164" s="57"/>
      <c r="AI164" s="34"/>
      <c r="AJ164" s="34"/>
    </row>
    <row r="165" spans="1:36" s="2" customFormat="1" ht="16.5" x14ac:dyDescent="0.3">
      <c r="A165" s="27">
        <v>45954</v>
      </c>
      <c r="B165" s="27">
        <v>45952</v>
      </c>
      <c r="C165" s="21" t="s">
        <v>49</v>
      </c>
      <c r="D165" s="57" t="s">
        <v>247</v>
      </c>
      <c r="E165" s="58" t="s">
        <v>407</v>
      </c>
      <c r="F165" s="60"/>
      <c r="G165" s="60"/>
      <c r="H165" s="60"/>
      <c r="I165" s="60"/>
      <c r="J165" s="60"/>
      <c r="K165" s="57" t="s">
        <v>140</v>
      </c>
      <c r="L165" s="61">
        <v>12.5</v>
      </c>
      <c r="M165" s="62" t="s">
        <v>140</v>
      </c>
      <c r="N165" s="61">
        <v>11.7</v>
      </c>
      <c r="O165" s="61">
        <v>24.2</v>
      </c>
      <c r="P165" s="61">
        <v>40.4</v>
      </c>
      <c r="Q165" s="61" t="s">
        <v>140</v>
      </c>
      <c r="R165" s="61" t="s">
        <v>140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59">
        <f t="shared" si="12"/>
        <v>45966</v>
      </c>
      <c r="AD165" s="57"/>
      <c r="AE165" s="60"/>
      <c r="AF165" s="59">
        <v>45965</v>
      </c>
      <c r="AG165" s="60"/>
      <c r="AH165" s="57"/>
      <c r="AI165" s="34"/>
      <c r="AJ165" s="34"/>
    </row>
    <row r="166" spans="1:36" s="2" customFormat="1" ht="16.5" x14ac:dyDescent="0.3">
      <c r="A166" s="27">
        <v>45954</v>
      </c>
      <c r="B166" s="27">
        <v>45952</v>
      </c>
      <c r="C166" s="21" t="s">
        <v>49</v>
      </c>
      <c r="D166" s="57" t="s">
        <v>248</v>
      </c>
      <c r="E166" s="58" t="s">
        <v>408</v>
      </c>
      <c r="F166" s="60"/>
      <c r="G166" s="60"/>
      <c r="H166" s="60"/>
      <c r="I166" s="60"/>
      <c r="J166" s="60"/>
      <c r="K166" s="57" t="s">
        <v>140</v>
      </c>
      <c r="L166" s="61">
        <v>10.199999999999999</v>
      </c>
      <c r="M166" s="62">
        <v>8.0098932938125245</v>
      </c>
      <c r="N166" s="61">
        <v>14.8</v>
      </c>
      <c r="O166" s="61">
        <v>30.6</v>
      </c>
      <c r="P166" s="61">
        <v>49.3</v>
      </c>
      <c r="Q166" s="61" t="s">
        <v>140</v>
      </c>
      <c r="R166" s="61" t="s">
        <v>140</v>
      </c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59">
        <f t="shared" si="12"/>
        <v>45966</v>
      </c>
      <c r="AD166" s="57"/>
      <c r="AE166" s="60"/>
      <c r="AF166" s="59">
        <v>45965</v>
      </c>
      <c r="AG166" s="60"/>
      <c r="AH166" s="57"/>
      <c r="AI166" s="34"/>
      <c r="AJ166" s="34"/>
    </row>
    <row r="167" spans="1:36" s="2" customFormat="1" ht="16.5" x14ac:dyDescent="0.3">
      <c r="A167" s="27">
        <v>45954</v>
      </c>
      <c r="B167" s="27">
        <v>45952</v>
      </c>
      <c r="C167" s="21" t="s">
        <v>49</v>
      </c>
      <c r="D167" s="57" t="s">
        <v>249</v>
      </c>
      <c r="E167" s="58" t="s">
        <v>409</v>
      </c>
      <c r="F167" s="60"/>
      <c r="G167" s="60"/>
      <c r="H167" s="60"/>
      <c r="I167" s="60"/>
      <c r="J167" s="60"/>
      <c r="K167" s="57" t="s">
        <v>140</v>
      </c>
      <c r="L167" s="61">
        <v>20.9</v>
      </c>
      <c r="M167" s="62">
        <v>6.8801600324939107</v>
      </c>
      <c r="N167" s="61">
        <v>43.8</v>
      </c>
      <c r="O167" s="61">
        <v>23.5</v>
      </c>
      <c r="P167" s="61">
        <v>61.7</v>
      </c>
      <c r="Q167" s="61" t="s">
        <v>140</v>
      </c>
      <c r="R167" s="61" t="s">
        <v>140</v>
      </c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59">
        <f t="shared" si="12"/>
        <v>45966</v>
      </c>
      <c r="AD167" s="57"/>
      <c r="AE167" s="60"/>
      <c r="AF167" s="59">
        <v>45965</v>
      </c>
      <c r="AG167" s="60"/>
      <c r="AH167" s="57"/>
      <c r="AI167" s="34"/>
      <c r="AJ167" s="34"/>
    </row>
    <row r="168" spans="1:36" s="2" customFormat="1" ht="16.5" x14ac:dyDescent="0.3">
      <c r="A168" s="27">
        <v>45954</v>
      </c>
      <c r="B168" s="27">
        <v>45952</v>
      </c>
      <c r="C168" s="21" t="s">
        <v>49</v>
      </c>
      <c r="D168" s="57" t="s">
        <v>417</v>
      </c>
      <c r="E168" s="58" t="s">
        <v>418</v>
      </c>
      <c r="F168" s="60"/>
      <c r="G168" s="60"/>
      <c r="H168" s="60"/>
      <c r="I168" s="60"/>
      <c r="J168" s="60"/>
      <c r="K168" s="57" t="s">
        <v>140</v>
      </c>
      <c r="L168" s="61">
        <v>18.2</v>
      </c>
      <c r="M168" s="62">
        <v>6.34</v>
      </c>
      <c r="N168" s="61">
        <v>36.9</v>
      </c>
      <c r="O168" s="61">
        <v>22.6</v>
      </c>
      <c r="P168" s="61">
        <v>55.5</v>
      </c>
      <c r="Q168" s="61" t="s">
        <v>140</v>
      </c>
      <c r="R168" s="61" t="s">
        <v>140</v>
      </c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59">
        <f t="shared" ref="AC168" si="13">B168+14</f>
        <v>45966</v>
      </c>
      <c r="AD168" s="57"/>
      <c r="AE168" s="60"/>
      <c r="AF168" s="59">
        <v>45965</v>
      </c>
      <c r="AG168" s="60"/>
      <c r="AH168" s="57"/>
      <c r="AI168" s="34"/>
      <c r="AJ168" s="34"/>
    </row>
    <row r="169" spans="1:36" s="2" customFormat="1" ht="16.5" x14ac:dyDescent="0.3">
      <c r="A169" s="27">
        <v>45954</v>
      </c>
      <c r="B169" s="27">
        <v>45952</v>
      </c>
      <c r="C169" s="21" t="s">
        <v>49</v>
      </c>
      <c r="D169" s="57" t="s">
        <v>250</v>
      </c>
      <c r="E169" s="58" t="s">
        <v>410</v>
      </c>
      <c r="F169" s="60"/>
      <c r="G169" s="60"/>
      <c r="H169" s="60"/>
      <c r="I169" s="60"/>
      <c r="J169" s="60"/>
      <c r="K169" s="57" t="s">
        <v>140</v>
      </c>
      <c r="L169" s="61">
        <v>10</v>
      </c>
      <c r="M169" s="62">
        <v>4.2331562652761896</v>
      </c>
      <c r="N169" s="61">
        <v>10.6</v>
      </c>
      <c r="O169" s="61">
        <v>21.3</v>
      </c>
      <c r="P169" s="61">
        <v>34.9</v>
      </c>
      <c r="Q169" s="61" t="s">
        <v>140</v>
      </c>
      <c r="R169" s="61" t="s">
        <v>140</v>
      </c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59">
        <f t="shared" si="12"/>
        <v>45966</v>
      </c>
      <c r="AD169" s="57"/>
      <c r="AE169" s="60"/>
      <c r="AF169" s="59">
        <v>45965</v>
      </c>
      <c r="AG169" s="60"/>
      <c r="AH169" s="57"/>
      <c r="AI169" s="34"/>
      <c r="AJ169" s="34"/>
    </row>
    <row r="170" spans="1:36" s="2" customFormat="1" ht="16.5" x14ac:dyDescent="0.3">
      <c r="A170" s="27">
        <v>45954</v>
      </c>
      <c r="B170" s="27">
        <v>45952</v>
      </c>
      <c r="C170" s="21" t="s">
        <v>49</v>
      </c>
      <c r="D170" s="57" t="s">
        <v>251</v>
      </c>
      <c r="E170" s="58" t="s">
        <v>411</v>
      </c>
      <c r="F170" s="60"/>
      <c r="G170" s="60"/>
      <c r="H170" s="60"/>
      <c r="I170" s="60"/>
      <c r="J170" s="60"/>
      <c r="K170" s="57" t="s">
        <v>140</v>
      </c>
      <c r="L170" s="61">
        <v>11.5</v>
      </c>
      <c r="M170" s="62">
        <v>6.8350000000000009</v>
      </c>
      <c r="N170" s="61">
        <v>11.6</v>
      </c>
      <c r="O170" s="61">
        <v>23.6</v>
      </c>
      <c r="P170" s="61">
        <v>40.299999999999997</v>
      </c>
      <c r="Q170" s="61" t="s">
        <v>140</v>
      </c>
      <c r="R170" s="61" t="s">
        <v>140</v>
      </c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59">
        <f t="shared" si="12"/>
        <v>45966</v>
      </c>
      <c r="AD170" s="57"/>
      <c r="AE170" s="60"/>
      <c r="AF170" s="59">
        <v>45965</v>
      </c>
      <c r="AG170" s="60"/>
      <c r="AH170" s="57"/>
      <c r="AI170" s="34"/>
      <c r="AJ170" s="34"/>
    </row>
    <row r="171" spans="1:36" s="2" customFormat="1" ht="16.5" x14ac:dyDescent="0.3">
      <c r="A171" s="27">
        <v>45954</v>
      </c>
      <c r="B171" s="27">
        <v>45952</v>
      </c>
      <c r="C171" s="21" t="s">
        <v>49</v>
      </c>
      <c r="D171" s="57" t="s">
        <v>252</v>
      </c>
      <c r="E171" s="58" t="s">
        <v>412</v>
      </c>
      <c r="F171" s="60"/>
      <c r="G171" s="60"/>
      <c r="H171" s="60"/>
      <c r="I171" s="60"/>
      <c r="J171" s="60"/>
      <c r="K171" s="57" t="s">
        <v>140</v>
      </c>
      <c r="L171" s="61">
        <v>13.2</v>
      </c>
      <c r="M171" s="62">
        <v>3.7500621301775148</v>
      </c>
      <c r="N171" s="61">
        <v>13.9</v>
      </c>
      <c r="O171" s="61">
        <v>24.6</v>
      </c>
      <c r="P171" s="61">
        <v>41.2</v>
      </c>
      <c r="Q171" s="61" t="s">
        <v>140</v>
      </c>
      <c r="R171" s="61" t="s">
        <v>140</v>
      </c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59">
        <f t="shared" si="12"/>
        <v>45966</v>
      </c>
      <c r="AD171" s="57"/>
      <c r="AE171" s="60"/>
      <c r="AF171" s="59">
        <v>45965</v>
      </c>
      <c r="AG171" s="60"/>
      <c r="AH171" s="57"/>
      <c r="AI171" s="34"/>
      <c r="AJ171" s="34"/>
    </row>
    <row r="172" spans="1:36" s="2" customFormat="1" ht="16.5" x14ac:dyDescent="0.3">
      <c r="A172" s="27">
        <v>45954</v>
      </c>
      <c r="B172" s="27">
        <v>45952</v>
      </c>
      <c r="C172" s="21" t="s">
        <v>49</v>
      </c>
      <c r="D172" s="57" t="s">
        <v>253</v>
      </c>
      <c r="E172" s="58" t="s">
        <v>413</v>
      </c>
      <c r="F172" s="60"/>
      <c r="G172" s="60"/>
      <c r="H172" s="60"/>
      <c r="I172" s="60"/>
      <c r="J172" s="60"/>
      <c r="K172" s="57" t="s">
        <v>140</v>
      </c>
      <c r="L172" s="61">
        <v>15.5</v>
      </c>
      <c r="M172" s="62">
        <v>5.0206090106544909</v>
      </c>
      <c r="N172" s="61">
        <v>10.6</v>
      </c>
      <c r="O172" s="61">
        <v>19.600000000000001</v>
      </c>
      <c r="P172" s="61">
        <v>31.1</v>
      </c>
      <c r="Q172" s="61" t="s">
        <v>140</v>
      </c>
      <c r="R172" s="61" t="s">
        <v>140</v>
      </c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59">
        <f t="shared" si="12"/>
        <v>45966</v>
      </c>
      <c r="AD172" s="57"/>
      <c r="AE172" s="60"/>
      <c r="AF172" s="59">
        <v>45965</v>
      </c>
      <c r="AG172" s="60"/>
      <c r="AH172" s="57"/>
      <c r="AI172" s="34"/>
      <c r="AJ172" s="34"/>
    </row>
    <row r="173" spans="1:36" s="2" customFormat="1" ht="16.5" x14ac:dyDescent="0.3">
      <c r="A173" s="27">
        <v>45954</v>
      </c>
      <c r="B173" s="27">
        <v>45952</v>
      </c>
      <c r="C173" s="21" t="s">
        <v>49</v>
      </c>
      <c r="D173" s="57" t="s">
        <v>254</v>
      </c>
      <c r="E173" s="58" t="s">
        <v>414</v>
      </c>
      <c r="F173" s="60"/>
      <c r="G173" s="60"/>
      <c r="H173" s="60"/>
      <c r="I173" s="60"/>
      <c r="J173" s="60"/>
      <c r="K173" s="57" t="s">
        <v>140</v>
      </c>
      <c r="L173" s="61">
        <v>14.7</v>
      </c>
      <c r="M173" s="62">
        <v>2.2035784411577901</v>
      </c>
      <c r="N173" s="61">
        <v>11.3</v>
      </c>
      <c r="O173" s="61">
        <v>25.3</v>
      </c>
      <c r="P173" s="61">
        <v>36</v>
      </c>
      <c r="Q173" s="61" t="s">
        <v>140</v>
      </c>
      <c r="R173" s="61" t="s">
        <v>140</v>
      </c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59">
        <f t="shared" si="12"/>
        <v>45966</v>
      </c>
      <c r="AD173" s="57"/>
      <c r="AE173" s="60"/>
      <c r="AF173" s="59">
        <v>45965</v>
      </c>
      <c r="AG173" s="60"/>
      <c r="AH173" s="57"/>
      <c r="AI173" s="34"/>
      <c r="AJ173" s="34"/>
    </row>
    <row r="174" spans="1:36" s="2" customFormat="1" ht="16.5" x14ac:dyDescent="0.3">
      <c r="A174" s="27">
        <v>45954</v>
      </c>
      <c r="B174" s="27">
        <v>45952</v>
      </c>
      <c r="C174" s="21" t="s">
        <v>49</v>
      </c>
      <c r="D174" s="57" t="s">
        <v>255</v>
      </c>
      <c r="E174" s="58" t="s">
        <v>415</v>
      </c>
      <c r="F174" s="60"/>
      <c r="G174" s="60"/>
      <c r="H174" s="60"/>
      <c r="I174" s="60"/>
      <c r="J174" s="60"/>
      <c r="K174" s="57" t="s">
        <v>140</v>
      </c>
      <c r="L174" s="61">
        <v>15.4</v>
      </c>
      <c r="M174" s="62">
        <v>5.1767148768967095</v>
      </c>
      <c r="N174" s="61">
        <v>12.1</v>
      </c>
      <c r="O174" s="61">
        <v>29.1</v>
      </c>
      <c r="P174" s="61">
        <v>42.6</v>
      </c>
      <c r="Q174" s="61" t="s">
        <v>140</v>
      </c>
      <c r="R174" s="61" t="s">
        <v>140</v>
      </c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59">
        <f t="shared" si="12"/>
        <v>45966</v>
      </c>
      <c r="AD174" s="57"/>
      <c r="AE174" s="60"/>
      <c r="AF174" s="59">
        <v>45965</v>
      </c>
      <c r="AG174" s="60"/>
      <c r="AH174" s="57"/>
      <c r="AI174" s="34"/>
      <c r="AJ174" s="34"/>
    </row>
    <row r="175" spans="1:36" s="2" customFormat="1" ht="16.5" x14ac:dyDescent="0.3">
      <c r="A175" s="27">
        <v>45954</v>
      </c>
      <c r="B175" s="27">
        <v>45952</v>
      </c>
      <c r="C175" s="21" t="s">
        <v>49</v>
      </c>
      <c r="D175" s="57" t="s">
        <v>256</v>
      </c>
      <c r="E175" s="58" t="s">
        <v>416</v>
      </c>
      <c r="F175" s="60"/>
      <c r="G175" s="60"/>
      <c r="H175" s="60"/>
      <c r="I175" s="60"/>
      <c r="J175" s="60"/>
      <c r="K175" s="57" t="s">
        <v>140</v>
      </c>
      <c r="L175" s="61">
        <v>13</v>
      </c>
      <c r="M175" s="62">
        <v>3.8944990918997453</v>
      </c>
      <c r="N175" s="61">
        <v>13.9</v>
      </c>
      <c r="O175" s="61">
        <v>33</v>
      </c>
      <c r="P175" s="61">
        <v>53.3</v>
      </c>
      <c r="Q175" s="61" t="s">
        <v>140</v>
      </c>
      <c r="R175" s="61" t="s">
        <v>140</v>
      </c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59">
        <f t="shared" si="12"/>
        <v>45966</v>
      </c>
      <c r="AD175" s="57"/>
      <c r="AE175" s="60"/>
      <c r="AF175" s="59">
        <v>45965</v>
      </c>
      <c r="AG175" s="60"/>
      <c r="AH175" s="57"/>
      <c r="AI175" s="34"/>
      <c r="AJ175" s="34"/>
    </row>
    <row r="176" spans="1:36" s="2" customFormat="1" ht="16.5" x14ac:dyDescent="0.3">
      <c r="A176" s="27">
        <v>45954</v>
      </c>
      <c r="B176" s="27">
        <v>45952</v>
      </c>
      <c r="C176" s="21" t="s">
        <v>49</v>
      </c>
      <c r="D176" s="57" t="s">
        <v>257</v>
      </c>
      <c r="E176" s="58" t="s">
        <v>419</v>
      </c>
      <c r="F176" s="60"/>
      <c r="G176" s="60"/>
      <c r="H176" s="60"/>
      <c r="I176" s="60"/>
      <c r="J176" s="60"/>
      <c r="K176" s="57" t="s">
        <v>140</v>
      </c>
      <c r="L176" s="61">
        <v>158.69999999999999</v>
      </c>
      <c r="M176" s="62">
        <v>4.0042890910636837</v>
      </c>
      <c r="N176" s="67">
        <v>779.2</v>
      </c>
      <c r="O176" s="61">
        <v>23.4</v>
      </c>
      <c r="P176" s="61">
        <v>64.2</v>
      </c>
      <c r="Q176" s="61" t="s">
        <v>140</v>
      </c>
      <c r="R176" s="61" t="s">
        <v>140</v>
      </c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59">
        <f t="shared" si="12"/>
        <v>45966</v>
      </c>
      <c r="AD176" s="57"/>
      <c r="AE176" s="60"/>
      <c r="AF176" s="59">
        <v>45965</v>
      </c>
      <c r="AG176" s="60"/>
      <c r="AH176" s="57"/>
      <c r="AI176" s="34"/>
      <c r="AJ176" s="34"/>
    </row>
    <row r="177" spans="1:36" s="2" customFormat="1" ht="16.5" x14ac:dyDescent="0.3">
      <c r="A177" s="27">
        <v>45954</v>
      </c>
      <c r="B177" s="27">
        <v>45952</v>
      </c>
      <c r="C177" s="21" t="s">
        <v>49</v>
      </c>
      <c r="D177" s="57" t="s">
        <v>258</v>
      </c>
      <c r="E177" s="58" t="s">
        <v>420</v>
      </c>
      <c r="F177" s="60"/>
      <c r="G177" s="60"/>
      <c r="H177" s="60"/>
      <c r="I177" s="60"/>
      <c r="J177" s="60"/>
      <c r="K177" s="57" t="s">
        <v>140</v>
      </c>
      <c r="L177" s="61">
        <v>34.299999999999997</v>
      </c>
      <c r="M177" s="62">
        <v>5.4556648795145257</v>
      </c>
      <c r="N177" s="61">
        <v>175</v>
      </c>
      <c r="O177" s="61">
        <v>23.1</v>
      </c>
      <c r="P177" s="61">
        <v>42.2</v>
      </c>
      <c r="Q177" s="61" t="s">
        <v>140</v>
      </c>
      <c r="R177" s="61" t="s">
        <v>140</v>
      </c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59">
        <f t="shared" si="12"/>
        <v>45966</v>
      </c>
      <c r="AD177" s="57"/>
      <c r="AE177" s="60"/>
      <c r="AF177" s="59">
        <v>45965</v>
      </c>
      <c r="AG177" s="60"/>
      <c r="AH177" s="57"/>
      <c r="AI177" s="34"/>
      <c r="AJ177" s="34"/>
    </row>
    <row r="178" spans="1:36" s="2" customFormat="1" ht="16.5" x14ac:dyDescent="0.3">
      <c r="A178" s="27">
        <v>45954</v>
      </c>
      <c r="B178" s="27">
        <v>45952</v>
      </c>
      <c r="C178" s="21" t="s">
        <v>49</v>
      </c>
      <c r="D178" s="57" t="s">
        <v>259</v>
      </c>
      <c r="E178" s="58" t="s">
        <v>421</v>
      </c>
      <c r="F178" s="60"/>
      <c r="G178" s="60"/>
      <c r="H178" s="60"/>
      <c r="I178" s="60"/>
      <c r="J178" s="60"/>
      <c r="K178" s="57" t="s">
        <v>140</v>
      </c>
      <c r="L178" s="61">
        <v>37.700000000000003</v>
      </c>
      <c r="M178" s="62">
        <v>5.8668117107423976</v>
      </c>
      <c r="N178" s="61">
        <v>83.7</v>
      </c>
      <c r="O178" s="61">
        <v>26.4</v>
      </c>
      <c r="P178" s="61">
        <v>42.8</v>
      </c>
      <c r="Q178" s="61" t="s">
        <v>140</v>
      </c>
      <c r="R178" s="61" t="s">
        <v>140</v>
      </c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59">
        <f t="shared" si="12"/>
        <v>45966</v>
      </c>
      <c r="AD178" s="57"/>
      <c r="AE178" s="60"/>
      <c r="AF178" s="59">
        <v>45965</v>
      </c>
      <c r="AG178" s="60"/>
      <c r="AH178" s="57"/>
      <c r="AI178" s="34"/>
      <c r="AJ178" s="34"/>
    </row>
    <row r="179" spans="1:36" s="2" customFormat="1" ht="16.5" x14ac:dyDescent="0.3">
      <c r="A179" s="27">
        <v>45954</v>
      </c>
      <c r="B179" s="27">
        <v>45952</v>
      </c>
      <c r="C179" s="21" t="s">
        <v>49</v>
      </c>
      <c r="D179" s="57" t="s">
        <v>260</v>
      </c>
      <c r="E179" s="58" t="s">
        <v>422</v>
      </c>
      <c r="F179" s="60"/>
      <c r="G179" s="60"/>
      <c r="H179" s="60"/>
      <c r="I179" s="60"/>
      <c r="J179" s="60"/>
      <c r="K179" s="57" t="s">
        <v>140</v>
      </c>
      <c r="L179" s="61">
        <v>18.399999999999999</v>
      </c>
      <c r="M179" s="62">
        <v>6.1956798866855509</v>
      </c>
      <c r="N179" s="61">
        <v>53.1</v>
      </c>
      <c r="O179" s="61">
        <v>23.6</v>
      </c>
      <c r="P179" s="61">
        <v>38.299999999999997</v>
      </c>
      <c r="Q179" s="61" t="s">
        <v>140</v>
      </c>
      <c r="R179" s="61" t="s">
        <v>140</v>
      </c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59">
        <f t="shared" si="12"/>
        <v>45966</v>
      </c>
      <c r="AD179" s="57"/>
      <c r="AE179" s="60"/>
      <c r="AF179" s="59">
        <v>45965</v>
      </c>
      <c r="AG179" s="60"/>
      <c r="AH179" s="57"/>
      <c r="AI179" s="34"/>
      <c r="AJ179" s="34"/>
    </row>
    <row r="180" spans="1:36" s="2" customFormat="1" ht="16.5" x14ac:dyDescent="0.3">
      <c r="A180" s="27">
        <v>45954</v>
      </c>
      <c r="B180" s="27">
        <v>45952</v>
      </c>
      <c r="C180" s="21" t="s">
        <v>49</v>
      </c>
      <c r="D180" s="57" t="s">
        <v>261</v>
      </c>
      <c r="E180" s="58" t="s">
        <v>423</v>
      </c>
      <c r="F180" s="60"/>
      <c r="G180" s="60"/>
      <c r="H180" s="60"/>
      <c r="I180" s="60"/>
      <c r="J180" s="60"/>
      <c r="K180" s="57" t="s">
        <v>140</v>
      </c>
      <c r="L180" s="61">
        <v>14.9</v>
      </c>
      <c r="M180" s="62">
        <v>6.28</v>
      </c>
      <c r="N180" s="61">
        <v>12.9</v>
      </c>
      <c r="O180" s="61">
        <v>24.6</v>
      </c>
      <c r="P180" s="61">
        <v>36.5</v>
      </c>
      <c r="Q180" s="61" t="s">
        <v>140</v>
      </c>
      <c r="R180" s="61" t="s">
        <v>140</v>
      </c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59">
        <f t="shared" si="12"/>
        <v>45966</v>
      </c>
      <c r="AD180" s="57"/>
      <c r="AE180" s="60"/>
      <c r="AF180" s="59">
        <v>45965</v>
      </c>
      <c r="AG180" s="60"/>
      <c r="AH180" s="57"/>
      <c r="AI180" s="34"/>
      <c r="AJ180" s="34"/>
    </row>
    <row r="181" spans="1:36" s="2" customFormat="1" ht="16.5" x14ac:dyDescent="0.3">
      <c r="A181" s="27">
        <v>45954</v>
      </c>
      <c r="B181" s="27">
        <v>45952</v>
      </c>
      <c r="C181" s="21" t="s">
        <v>49</v>
      </c>
      <c r="D181" s="57" t="s">
        <v>262</v>
      </c>
      <c r="E181" s="58" t="s">
        <v>424</v>
      </c>
      <c r="F181" s="60"/>
      <c r="G181" s="60"/>
      <c r="H181" s="60"/>
      <c r="I181" s="60"/>
      <c r="J181" s="60"/>
      <c r="K181" s="57" t="s">
        <v>140</v>
      </c>
      <c r="L181" s="61">
        <v>13.4</v>
      </c>
      <c r="M181" s="62">
        <v>2.38</v>
      </c>
      <c r="N181" s="61">
        <v>12.4</v>
      </c>
      <c r="O181" s="61">
        <v>29.7</v>
      </c>
      <c r="P181" s="61">
        <v>40.1</v>
      </c>
      <c r="Q181" s="61" t="s">
        <v>140</v>
      </c>
      <c r="R181" s="61" t="s">
        <v>140</v>
      </c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59">
        <f t="shared" si="12"/>
        <v>45966</v>
      </c>
      <c r="AD181" s="57"/>
      <c r="AE181" s="60"/>
      <c r="AF181" s="59">
        <v>45965</v>
      </c>
      <c r="AG181" s="60"/>
      <c r="AH181" s="57"/>
      <c r="AI181" s="34"/>
      <c r="AJ181" s="34"/>
    </row>
    <row r="182" spans="1:36" s="2" customFormat="1" ht="16.5" x14ac:dyDescent="0.3">
      <c r="A182" s="27">
        <v>45954</v>
      </c>
      <c r="B182" s="27">
        <v>45952</v>
      </c>
      <c r="C182" s="21" t="s">
        <v>49</v>
      </c>
      <c r="D182" s="57" t="s">
        <v>263</v>
      </c>
      <c r="E182" s="58" t="s">
        <v>425</v>
      </c>
      <c r="F182" s="60"/>
      <c r="G182" s="60"/>
      <c r="H182" s="60"/>
      <c r="I182" s="60"/>
      <c r="J182" s="60"/>
      <c r="K182" s="57" t="s">
        <v>140</v>
      </c>
      <c r="L182" s="61">
        <v>9.4</v>
      </c>
      <c r="M182" s="62">
        <v>3.26</v>
      </c>
      <c r="N182" s="61">
        <v>9.1999999999999993</v>
      </c>
      <c r="O182" s="61">
        <v>23</v>
      </c>
      <c r="P182" s="61">
        <v>36</v>
      </c>
      <c r="Q182" s="61" t="s">
        <v>140</v>
      </c>
      <c r="R182" s="61" t="s">
        <v>140</v>
      </c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59">
        <f t="shared" si="12"/>
        <v>45966</v>
      </c>
      <c r="AD182" s="57"/>
      <c r="AE182" s="60"/>
      <c r="AF182" s="59">
        <v>45965</v>
      </c>
      <c r="AG182" s="60"/>
      <c r="AH182" s="57"/>
      <c r="AI182" s="34"/>
      <c r="AJ182" s="34"/>
    </row>
    <row r="183" spans="1:36" s="2" customFormat="1" ht="16.5" x14ac:dyDescent="0.3">
      <c r="A183" s="27">
        <v>45954</v>
      </c>
      <c r="B183" s="27">
        <v>45952</v>
      </c>
      <c r="C183" s="21" t="s">
        <v>49</v>
      </c>
      <c r="D183" s="57" t="s">
        <v>264</v>
      </c>
      <c r="E183" s="58" t="s">
        <v>426</v>
      </c>
      <c r="F183" s="60"/>
      <c r="G183" s="60"/>
      <c r="H183" s="60"/>
      <c r="I183" s="60"/>
      <c r="J183" s="60"/>
      <c r="K183" s="57" t="s">
        <v>140</v>
      </c>
      <c r="L183" s="61">
        <v>14.9</v>
      </c>
      <c r="M183" s="62" t="s">
        <v>140</v>
      </c>
      <c r="N183" s="61">
        <v>16.100000000000001</v>
      </c>
      <c r="O183" s="61">
        <v>29.9</v>
      </c>
      <c r="P183" s="61">
        <v>39.299999999999997</v>
      </c>
      <c r="Q183" s="61" t="s">
        <v>140</v>
      </c>
      <c r="R183" s="61" t="s">
        <v>140</v>
      </c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59">
        <f t="shared" si="12"/>
        <v>45966</v>
      </c>
      <c r="AD183" s="57"/>
      <c r="AE183" s="60"/>
      <c r="AF183" s="59">
        <v>45965</v>
      </c>
      <c r="AG183" s="60"/>
      <c r="AH183" s="57"/>
      <c r="AI183" s="34"/>
      <c r="AJ183" s="34"/>
    </row>
    <row r="184" spans="1:36" s="2" customFormat="1" ht="16.5" x14ac:dyDescent="0.3">
      <c r="A184" s="27">
        <v>45954</v>
      </c>
      <c r="B184" s="27">
        <v>45952</v>
      </c>
      <c r="C184" s="21" t="s">
        <v>49</v>
      </c>
      <c r="D184" s="57" t="s">
        <v>265</v>
      </c>
      <c r="E184" s="58" t="s">
        <v>427</v>
      </c>
      <c r="F184" s="60"/>
      <c r="G184" s="60"/>
      <c r="H184" s="60"/>
      <c r="I184" s="60"/>
      <c r="J184" s="60"/>
      <c r="K184" s="57" t="s">
        <v>140</v>
      </c>
      <c r="L184" s="61">
        <v>14.3</v>
      </c>
      <c r="M184" s="62">
        <v>3.43</v>
      </c>
      <c r="N184" s="61">
        <v>78.099999999999994</v>
      </c>
      <c r="O184" s="61">
        <v>23.5</v>
      </c>
      <c r="P184" s="61">
        <v>44</v>
      </c>
      <c r="Q184" s="61" t="s">
        <v>140</v>
      </c>
      <c r="R184" s="61" t="s">
        <v>140</v>
      </c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59">
        <f t="shared" si="12"/>
        <v>45966</v>
      </c>
      <c r="AD184" s="57"/>
      <c r="AE184" s="60"/>
      <c r="AF184" s="59">
        <v>45965</v>
      </c>
      <c r="AG184" s="60"/>
      <c r="AH184" s="57"/>
      <c r="AI184" s="34"/>
      <c r="AJ184" s="34"/>
    </row>
    <row r="185" spans="1:36" s="2" customFormat="1" ht="16.5" x14ac:dyDescent="0.3">
      <c r="A185" s="27">
        <v>45954</v>
      </c>
      <c r="B185" s="27">
        <v>45952</v>
      </c>
      <c r="C185" s="21" t="s">
        <v>49</v>
      </c>
      <c r="D185" s="57" t="s">
        <v>266</v>
      </c>
      <c r="E185" s="58" t="s">
        <v>428</v>
      </c>
      <c r="F185" s="60"/>
      <c r="G185" s="60"/>
      <c r="H185" s="60"/>
      <c r="I185" s="60"/>
      <c r="J185" s="60"/>
      <c r="K185" s="57" t="s">
        <v>140</v>
      </c>
      <c r="L185" s="61">
        <v>10.4</v>
      </c>
      <c r="M185" s="62">
        <v>6.17</v>
      </c>
      <c r="N185" s="61">
        <v>10.3</v>
      </c>
      <c r="O185" s="61">
        <v>25.6</v>
      </c>
      <c r="P185" s="61">
        <v>44.8</v>
      </c>
      <c r="Q185" s="61" t="s">
        <v>140</v>
      </c>
      <c r="R185" s="61" t="s">
        <v>140</v>
      </c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59">
        <f t="shared" si="12"/>
        <v>45966</v>
      </c>
      <c r="AD185" s="57"/>
      <c r="AE185" s="60"/>
      <c r="AF185" s="59">
        <v>45965</v>
      </c>
      <c r="AG185" s="60"/>
      <c r="AH185" s="57"/>
      <c r="AI185" s="34"/>
      <c r="AJ185" s="34"/>
    </row>
    <row r="186" spans="1:36" s="2" customFormat="1" ht="16.5" x14ac:dyDescent="0.3">
      <c r="A186" s="27">
        <v>45954</v>
      </c>
      <c r="B186" s="27">
        <v>45952</v>
      </c>
      <c r="C186" s="21" t="s">
        <v>49</v>
      </c>
      <c r="D186" s="57" t="s">
        <v>267</v>
      </c>
      <c r="E186" s="58" t="s">
        <v>429</v>
      </c>
      <c r="F186" s="60"/>
      <c r="G186" s="60"/>
      <c r="H186" s="60"/>
      <c r="I186" s="60"/>
      <c r="J186" s="60"/>
      <c r="K186" s="57" t="s">
        <v>140</v>
      </c>
      <c r="L186" s="61">
        <v>11.8</v>
      </c>
      <c r="M186" s="62">
        <v>3.25</v>
      </c>
      <c r="N186" s="61">
        <v>10.7</v>
      </c>
      <c r="O186" s="61">
        <v>29</v>
      </c>
      <c r="P186" s="61">
        <v>44.6</v>
      </c>
      <c r="Q186" s="61" t="s">
        <v>140</v>
      </c>
      <c r="R186" s="61" t="s">
        <v>140</v>
      </c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59">
        <f t="shared" si="12"/>
        <v>45966</v>
      </c>
      <c r="AD186" s="57"/>
      <c r="AE186" s="60"/>
      <c r="AF186" s="59">
        <v>45965</v>
      </c>
      <c r="AG186" s="60"/>
      <c r="AH186" s="57"/>
      <c r="AI186" s="34"/>
      <c r="AJ186" s="34"/>
    </row>
    <row r="187" spans="1:36" s="2" customFormat="1" ht="16.5" x14ac:dyDescent="0.3">
      <c r="A187" s="27">
        <v>45954</v>
      </c>
      <c r="B187" s="27">
        <v>45952</v>
      </c>
      <c r="C187" s="21" t="s">
        <v>49</v>
      </c>
      <c r="D187" s="57" t="s">
        <v>268</v>
      </c>
      <c r="E187" s="58" t="s">
        <v>430</v>
      </c>
      <c r="F187" s="60"/>
      <c r="G187" s="60"/>
      <c r="H187" s="60"/>
      <c r="I187" s="60"/>
      <c r="J187" s="60"/>
      <c r="K187" s="57" t="s">
        <v>140</v>
      </c>
      <c r="L187" s="61">
        <v>14.8</v>
      </c>
      <c r="M187" s="62" t="s">
        <v>140</v>
      </c>
      <c r="N187" s="61">
        <v>10.5</v>
      </c>
      <c r="O187" s="61">
        <v>31.3</v>
      </c>
      <c r="P187" s="61">
        <v>45.4</v>
      </c>
      <c r="Q187" s="61" t="s">
        <v>140</v>
      </c>
      <c r="R187" s="61" t="s">
        <v>140</v>
      </c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59">
        <f t="shared" si="12"/>
        <v>45966</v>
      </c>
      <c r="AD187" s="57"/>
      <c r="AE187" s="60"/>
      <c r="AF187" s="59">
        <v>45965</v>
      </c>
      <c r="AG187" s="60"/>
      <c r="AH187" s="57"/>
      <c r="AI187" s="34"/>
      <c r="AJ187" s="34"/>
    </row>
    <row r="188" spans="1:36" s="2" customFormat="1" ht="16.5" x14ac:dyDescent="0.3">
      <c r="A188" s="27">
        <v>45954</v>
      </c>
      <c r="B188" s="27">
        <v>45952</v>
      </c>
      <c r="C188" s="21" t="s">
        <v>49</v>
      </c>
      <c r="D188" s="57" t="s">
        <v>269</v>
      </c>
      <c r="E188" s="58" t="s">
        <v>431</v>
      </c>
      <c r="F188" s="60"/>
      <c r="G188" s="60"/>
      <c r="H188" s="60"/>
      <c r="I188" s="60"/>
      <c r="J188" s="60"/>
      <c r="K188" s="57" t="s">
        <v>140</v>
      </c>
      <c r="L188" s="61">
        <v>15.9</v>
      </c>
      <c r="M188" s="62">
        <v>4.3600000000000003</v>
      </c>
      <c r="N188" s="61">
        <v>13.4</v>
      </c>
      <c r="O188" s="61">
        <v>35.200000000000003</v>
      </c>
      <c r="P188" s="61">
        <v>52.2</v>
      </c>
      <c r="Q188" s="61" t="s">
        <v>140</v>
      </c>
      <c r="R188" s="61" t="s">
        <v>140</v>
      </c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59">
        <f t="shared" si="12"/>
        <v>45966</v>
      </c>
      <c r="AD188" s="57"/>
      <c r="AE188" s="60"/>
      <c r="AF188" s="59">
        <v>45965</v>
      </c>
      <c r="AG188" s="60"/>
      <c r="AH188" s="57"/>
      <c r="AI188" s="34"/>
      <c r="AJ188" s="34"/>
    </row>
    <row r="189" spans="1:36" s="2" customFormat="1" ht="16.5" x14ac:dyDescent="0.3">
      <c r="A189" s="27">
        <v>45954</v>
      </c>
      <c r="B189" s="27">
        <v>45952</v>
      </c>
      <c r="C189" s="21" t="s">
        <v>49</v>
      </c>
      <c r="D189" s="57" t="s">
        <v>433</v>
      </c>
      <c r="E189" s="58" t="s">
        <v>434</v>
      </c>
      <c r="F189" s="60"/>
      <c r="G189" s="60"/>
      <c r="H189" s="60"/>
      <c r="I189" s="60"/>
      <c r="J189" s="60"/>
      <c r="K189" s="57" t="s">
        <v>140</v>
      </c>
      <c r="L189" s="61">
        <v>17.3</v>
      </c>
      <c r="M189" s="62">
        <v>4.59</v>
      </c>
      <c r="N189" s="61">
        <v>12.7</v>
      </c>
      <c r="O189" s="61">
        <v>36.5</v>
      </c>
      <c r="P189" s="61">
        <v>52.9</v>
      </c>
      <c r="Q189" s="61" t="s">
        <v>140</v>
      </c>
      <c r="R189" s="61" t="s">
        <v>140</v>
      </c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59">
        <f t="shared" ref="AC189" si="14">B189+14</f>
        <v>45966</v>
      </c>
      <c r="AD189" s="57"/>
      <c r="AE189" s="60"/>
      <c r="AF189" s="59">
        <v>45965</v>
      </c>
      <c r="AG189" s="60"/>
      <c r="AH189" s="57"/>
      <c r="AI189" s="34"/>
      <c r="AJ189" s="34"/>
    </row>
    <row r="190" spans="1:36" s="2" customFormat="1" ht="16.5" x14ac:dyDescent="0.3">
      <c r="A190" s="27">
        <v>45954</v>
      </c>
      <c r="B190" s="27">
        <v>45952</v>
      </c>
      <c r="C190" s="21" t="s">
        <v>49</v>
      </c>
      <c r="D190" s="57" t="s">
        <v>270</v>
      </c>
      <c r="E190" s="58" t="s">
        <v>432</v>
      </c>
      <c r="F190" s="60"/>
      <c r="G190" s="60"/>
      <c r="H190" s="60"/>
      <c r="I190" s="60"/>
      <c r="J190" s="60"/>
      <c r="K190" s="57" t="s">
        <v>140</v>
      </c>
      <c r="L190" s="61">
        <v>9.5</v>
      </c>
      <c r="M190" s="62">
        <v>5.17</v>
      </c>
      <c r="N190" s="61">
        <v>8</v>
      </c>
      <c r="O190" s="61">
        <v>30.5</v>
      </c>
      <c r="P190" s="61">
        <v>49.6</v>
      </c>
      <c r="Q190" s="61" t="s">
        <v>140</v>
      </c>
      <c r="R190" s="61" t="s">
        <v>140</v>
      </c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59">
        <f t="shared" si="12"/>
        <v>45966</v>
      </c>
      <c r="AD190" s="57"/>
      <c r="AE190" s="60"/>
      <c r="AF190" s="59">
        <v>45965</v>
      </c>
      <c r="AG190" s="60"/>
      <c r="AH190" s="57"/>
      <c r="AI190" s="34"/>
      <c r="AJ190" s="34"/>
    </row>
    <row r="191" spans="1:36" s="2" customFormat="1" ht="16.5" x14ac:dyDescent="0.3">
      <c r="A191" s="27">
        <v>45954</v>
      </c>
      <c r="B191" s="27">
        <v>45952</v>
      </c>
      <c r="C191" s="21" t="s">
        <v>49</v>
      </c>
      <c r="D191" s="57" t="s">
        <v>271</v>
      </c>
      <c r="E191" s="58" t="s">
        <v>435</v>
      </c>
      <c r="F191" s="60"/>
      <c r="G191" s="60"/>
      <c r="H191" s="60"/>
      <c r="I191" s="60"/>
      <c r="J191" s="60"/>
      <c r="K191" s="57" t="s">
        <v>140</v>
      </c>
      <c r="L191" s="61">
        <v>17.100000000000001</v>
      </c>
      <c r="M191" s="62" t="s">
        <v>140</v>
      </c>
      <c r="N191" s="61">
        <v>48.5</v>
      </c>
      <c r="O191" s="61">
        <v>23.1</v>
      </c>
      <c r="P191" s="61">
        <v>42.6</v>
      </c>
      <c r="Q191" s="61" t="s">
        <v>140</v>
      </c>
      <c r="R191" s="61" t="s">
        <v>140</v>
      </c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59">
        <f t="shared" si="12"/>
        <v>45966</v>
      </c>
      <c r="AD191" s="57"/>
      <c r="AE191" s="60"/>
      <c r="AF191" s="59">
        <v>45965</v>
      </c>
      <c r="AG191" s="60"/>
      <c r="AH191" s="57"/>
      <c r="AI191" s="34"/>
      <c r="AJ191" s="34"/>
    </row>
    <row r="192" spans="1:36" s="2" customFormat="1" ht="16.5" x14ac:dyDescent="0.3">
      <c r="A192" s="27">
        <v>45954</v>
      </c>
      <c r="B192" s="27">
        <v>45952</v>
      </c>
      <c r="C192" s="21" t="s">
        <v>49</v>
      </c>
      <c r="D192" s="57" t="s">
        <v>272</v>
      </c>
      <c r="E192" s="58" t="s">
        <v>436</v>
      </c>
      <c r="F192" s="60"/>
      <c r="G192" s="60"/>
      <c r="H192" s="60"/>
      <c r="I192" s="60"/>
      <c r="J192" s="60"/>
      <c r="K192" s="57" t="s">
        <v>140</v>
      </c>
      <c r="L192" s="61">
        <v>10.7</v>
      </c>
      <c r="M192" s="62">
        <v>1.61</v>
      </c>
      <c r="N192" s="61">
        <v>11.5</v>
      </c>
      <c r="O192" s="61">
        <v>22.5</v>
      </c>
      <c r="P192" s="61">
        <v>39.1</v>
      </c>
      <c r="Q192" s="61" t="s">
        <v>140</v>
      </c>
      <c r="R192" s="61" t="s">
        <v>140</v>
      </c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59">
        <f t="shared" si="12"/>
        <v>45966</v>
      </c>
      <c r="AD192" s="57"/>
      <c r="AE192" s="60"/>
      <c r="AF192" s="59">
        <v>45965</v>
      </c>
      <c r="AG192" s="60"/>
      <c r="AH192" s="57"/>
      <c r="AI192" s="34"/>
      <c r="AJ192" s="34"/>
    </row>
    <row r="193" spans="1:37" s="2" customFormat="1" ht="16.5" x14ac:dyDescent="0.3">
      <c r="A193" s="27">
        <v>45954</v>
      </c>
      <c r="B193" s="27">
        <v>45952</v>
      </c>
      <c r="C193" s="21" t="s">
        <v>49</v>
      </c>
      <c r="D193" s="57" t="s">
        <v>273</v>
      </c>
      <c r="E193" s="58" t="s">
        <v>437</v>
      </c>
      <c r="F193" s="60"/>
      <c r="G193" s="60"/>
      <c r="H193" s="60"/>
      <c r="I193" s="60"/>
      <c r="J193" s="60"/>
      <c r="K193" s="57" t="s">
        <v>140</v>
      </c>
      <c r="L193" s="61">
        <v>9.6</v>
      </c>
      <c r="M193" s="62">
        <v>5.12</v>
      </c>
      <c r="N193" s="61">
        <v>9.6999999999999993</v>
      </c>
      <c r="O193" s="61">
        <v>20.6</v>
      </c>
      <c r="P193" s="61">
        <v>34.5</v>
      </c>
      <c r="Q193" s="61" t="s">
        <v>140</v>
      </c>
      <c r="R193" s="61" t="s">
        <v>140</v>
      </c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59">
        <f t="shared" si="12"/>
        <v>45966</v>
      </c>
      <c r="AD193" s="57"/>
      <c r="AE193" s="60"/>
      <c r="AF193" s="59">
        <v>45965</v>
      </c>
      <c r="AG193" s="60"/>
      <c r="AH193" s="57"/>
      <c r="AI193" s="34"/>
      <c r="AJ193" s="34"/>
    </row>
    <row r="194" spans="1:37" s="2" customFormat="1" ht="16.5" x14ac:dyDescent="0.3">
      <c r="A194" s="27">
        <v>45954</v>
      </c>
      <c r="B194" s="27">
        <v>45952</v>
      </c>
      <c r="C194" s="21" t="s">
        <v>49</v>
      </c>
      <c r="D194" s="57" t="s">
        <v>274</v>
      </c>
      <c r="E194" s="58" t="s">
        <v>438</v>
      </c>
      <c r="F194" s="60"/>
      <c r="G194" s="60"/>
      <c r="H194" s="60"/>
      <c r="I194" s="60"/>
      <c r="J194" s="60"/>
      <c r="K194" s="57" t="s">
        <v>140</v>
      </c>
      <c r="L194" s="61">
        <v>9.6</v>
      </c>
      <c r="M194" s="62">
        <v>4.1900000000000004</v>
      </c>
      <c r="N194" s="61">
        <v>9.1999999999999993</v>
      </c>
      <c r="O194" s="61">
        <v>21.9</v>
      </c>
      <c r="P194" s="61">
        <v>35.299999999999997</v>
      </c>
      <c r="Q194" s="61" t="s">
        <v>140</v>
      </c>
      <c r="R194" s="61" t="s">
        <v>140</v>
      </c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59">
        <f t="shared" si="12"/>
        <v>45966</v>
      </c>
      <c r="AD194" s="57"/>
      <c r="AE194" s="60"/>
      <c r="AF194" s="59">
        <v>45965</v>
      </c>
      <c r="AG194" s="60"/>
      <c r="AH194" s="57"/>
      <c r="AI194" s="34"/>
      <c r="AJ194" s="34"/>
    </row>
    <row r="195" spans="1:37" s="2" customFormat="1" ht="16.5" x14ac:dyDescent="0.3">
      <c r="A195" s="27">
        <v>45954</v>
      </c>
      <c r="B195" s="27">
        <v>45952</v>
      </c>
      <c r="C195" s="21" t="s">
        <v>49</v>
      </c>
      <c r="D195" s="57" t="s">
        <v>275</v>
      </c>
      <c r="E195" s="58" t="s">
        <v>439</v>
      </c>
      <c r="F195" s="60"/>
      <c r="G195" s="60"/>
      <c r="H195" s="60"/>
      <c r="I195" s="60"/>
      <c r="J195" s="60"/>
      <c r="K195" s="57" t="s">
        <v>140</v>
      </c>
      <c r="L195" s="61">
        <v>10.199999999999999</v>
      </c>
      <c r="M195" s="62">
        <v>3.28</v>
      </c>
      <c r="N195" s="61">
        <v>9.6999999999999993</v>
      </c>
      <c r="O195" s="61">
        <v>22.3</v>
      </c>
      <c r="P195" s="61">
        <v>37.6</v>
      </c>
      <c r="Q195" s="61" t="s">
        <v>140</v>
      </c>
      <c r="R195" s="61" t="s">
        <v>140</v>
      </c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59">
        <f t="shared" ref="AC195:AC211" si="15">B195+14</f>
        <v>45966</v>
      </c>
      <c r="AD195" s="57"/>
      <c r="AE195" s="60"/>
      <c r="AF195" s="59">
        <v>45965</v>
      </c>
      <c r="AG195" s="60"/>
      <c r="AH195" s="57"/>
      <c r="AI195" s="34"/>
      <c r="AJ195" s="34"/>
    </row>
    <row r="196" spans="1:37" s="2" customFormat="1" ht="16.5" x14ac:dyDescent="0.3">
      <c r="A196" s="27">
        <v>45954</v>
      </c>
      <c r="B196" s="27">
        <v>45952</v>
      </c>
      <c r="C196" s="21" t="s">
        <v>49</v>
      </c>
      <c r="D196" s="57" t="s">
        <v>276</v>
      </c>
      <c r="E196" s="58" t="s">
        <v>440</v>
      </c>
      <c r="F196" s="60"/>
      <c r="G196" s="60"/>
      <c r="H196" s="60"/>
      <c r="I196" s="60"/>
      <c r="J196" s="60"/>
      <c r="K196" s="57" t="s">
        <v>140</v>
      </c>
      <c r="L196" s="61">
        <v>12.2</v>
      </c>
      <c r="M196" s="62">
        <v>2.79</v>
      </c>
      <c r="N196" s="61">
        <v>10.6</v>
      </c>
      <c r="O196" s="61">
        <v>29.3</v>
      </c>
      <c r="P196" s="61">
        <v>44.8</v>
      </c>
      <c r="Q196" s="61" t="s">
        <v>140</v>
      </c>
      <c r="R196" s="61" t="s">
        <v>140</v>
      </c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59">
        <f t="shared" si="15"/>
        <v>45966</v>
      </c>
      <c r="AD196" s="57"/>
      <c r="AE196" s="60"/>
      <c r="AF196" s="59">
        <v>45965</v>
      </c>
      <c r="AG196" s="60"/>
      <c r="AH196" s="57"/>
      <c r="AI196" s="34"/>
      <c r="AJ196" s="34"/>
    </row>
    <row r="197" spans="1:37" s="2" customFormat="1" ht="16.5" x14ac:dyDescent="0.3">
      <c r="A197" s="27">
        <v>45954</v>
      </c>
      <c r="B197" s="27">
        <v>45952</v>
      </c>
      <c r="C197" s="21" t="s">
        <v>49</v>
      </c>
      <c r="D197" s="57" t="s">
        <v>277</v>
      </c>
      <c r="E197" s="58" t="s">
        <v>441</v>
      </c>
      <c r="F197" s="60"/>
      <c r="G197" s="60"/>
      <c r="H197" s="60"/>
      <c r="I197" s="60"/>
      <c r="J197" s="60"/>
      <c r="K197" s="57" t="s">
        <v>140</v>
      </c>
      <c r="L197" s="61">
        <v>9</v>
      </c>
      <c r="M197" s="62">
        <v>5.77</v>
      </c>
      <c r="N197" s="61">
        <v>7.7</v>
      </c>
      <c r="O197" s="61">
        <v>33.200000000000003</v>
      </c>
      <c r="P197" s="61">
        <v>50.5</v>
      </c>
      <c r="Q197" s="61" t="s">
        <v>140</v>
      </c>
      <c r="R197" s="61" t="s">
        <v>140</v>
      </c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59">
        <f t="shared" si="15"/>
        <v>45966</v>
      </c>
      <c r="AD197" s="57"/>
      <c r="AE197" s="60"/>
      <c r="AF197" s="59">
        <v>45965</v>
      </c>
      <c r="AG197" s="60"/>
      <c r="AH197" s="57"/>
      <c r="AI197" s="34"/>
      <c r="AJ197" s="34"/>
    </row>
    <row r="198" spans="1:37" s="2" customFormat="1" ht="16.5" x14ac:dyDescent="0.3">
      <c r="A198" s="27">
        <v>45954</v>
      </c>
      <c r="B198" s="27">
        <v>45952</v>
      </c>
      <c r="C198" s="21" t="s">
        <v>49</v>
      </c>
      <c r="D198" s="57" t="s">
        <v>442</v>
      </c>
      <c r="E198" s="58" t="s">
        <v>443</v>
      </c>
      <c r="F198" s="60"/>
      <c r="G198" s="60"/>
      <c r="H198" s="60"/>
      <c r="I198" s="60"/>
      <c r="J198" s="60"/>
      <c r="K198" s="57" t="s">
        <v>140</v>
      </c>
      <c r="L198" s="61">
        <v>9</v>
      </c>
      <c r="M198" s="62">
        <v>5.13</v>
      </c>
      <c r="N198" s="61">
        <v>8</v>
      </c>
      <c r="O198" s="61">
        <v>32.700000000000003</v>
      </c>
      <c r="P198" s="61">
        <v>49.8</v>
      </c>
      <c r="Q198" s="61" t="s">
        <v>140</v>
      </c>
      <c r="R198" s="61" t="s">
        <v>140</v>
      </c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59">
        <f t="shared" ref="AC198:AC205" si="16">B198+14</f>
        <v>45966</v>
      </c>
      <c r="AD198" s="57"/>
      <c r="AE198" s="60"/>
      <c r="AF198" s="59">
        <v>45965</v>
      </c>
      <c r="AG198" s="60"/>
      <c r="AH198" s="57"/>
      <c r="AI198" s="34"/>
      <c r="AJ198" s="34"/>
    </row>
    <row r="199" spans="1:37" s="2" customFormat="1" ht="16.5" x14ac:dyDescent="0.3">
      <c r="A199" s="27">
        <v>45954</v>
      </c>
      <c r="B199" s="27">
        <v>45953</v>
      </c>
      <c r="C199" s="21" t="s">
        <v>49</v>
      </c>
      <c r="D199" s="57" t="s">
        <v>278</v>
      </c>
      <c r="E199" s="58" t="s">
        <v>444</v>
      </c>
      <c r="F199" s="57" t="s">
        <v>457</v>
      </c>
      <c r="G199" s="57" t="s">
        <v>457</v>
      </c>
      <c r="H199" s="57" t="s">
        <v>457</v>
      </c>
      <c r="I199" s="57" t="s">
        <v>457</v>
      </c>
      <c r="J199" s="57" t="s">
        <v>457</v>
      </c>
      <c r="K199" s="60"/>
      <c r="L199" s="64"/>
      <c r="M199" s="63"/>
      <c r="N199" s="64"/>
      <c r="O199" s="64"/>
      <c r="P199" s="64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59">
        <f t="shared" si="16"/>
        <v>45967</v>
      </c>
      <c r="AD199" s="57"/>
      <c r="AE199" s="59">
        <v>45965</v>
      </c>
      <c r="AF199" s="60"/>
      <c r="AG199" s="60"/>
      <c r="AH199" s="57"/>
      <c r="AI199" s="34"/>
      <c r="AJ199" s="34"/>
    </row>
    <row r="200" spans="1:37" s="2" customFormat="1" ht="16.5" x14ac:dyDescent="0.3">
      <c r="A200" s="27">
        <v>45954</v>
      </c>
      <c r="B200" s="27">
        <v>45953</v>
      </c>
      <c r="C200" s="21" t="s">
        <v>49</v>
      </c>
      <c r="D200" s="57" t="s">
        <v>279</v>
      </c>
      <c r="E200" s="58" t="s">
        <v>445</v>
      </c>
      <c r="F200" s="57" t="s">
        <v>457</v>
      </c>
      <c r="G200" s="57" t="s">
        <v>457</v>
      </c>
      <c r="H200" s="57" t="s">
        <v>457</v>
      </c>
      <c r="I200" s="57" t="s">
        <v>457</v>
      </c>
      <c r="J200" s="57" t="s">
        <v>457</v>
      </c>
      <c r="K200" s="60"/>
      <c r="L200" s="64"/>
      <c r="M200" s="63"/>
      <c r="N200" s="64"/>
      <c r="O200" s="64"/>
      <c r="P200" s="64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59">
        <f t="shared" si="16"/>
        <v>45967</v>
      </c>
      <c r="AD200" s="57"/>
      <c r="AE200" s="59">
        <v>45965</v>
      </c>
      <c r="AF200" s="60"/>
      <c r="AG200" s="60"/>
      <c r="AH200" s="57"/>
      <c r="AI200" s="34"/>
      <c r="AJ200" s="34"/>
    </row>
    <row r="201" spans="1:37" s="2" customFormat="1" ht="16.5" x14ac:dyDescent="0.3">
      <c r="A201" s="27">
        <v>45954</v>
      </c>
      <c r="B201" s="27">
        <v>45953</v>
      </c>
      <c r="C201" s="21" t="s">
        <v>49</v>
      </c>
      <c r="D201" s="83" t="s">
        <v>280</v>
      </c>
      <c r="E201" s="84" t="s">
        <v>446</v>
      </c>
      <c r="F201" s="57" t="s">
        <v>457</v>
      </c>
      <c r="G201" s="57" t="s">
        <v>457</v>
      </c>
      <c r="H201" s="57" t="s">
        <v>457</v>
      </c>
      <c r="I201" s="57" t="s">
        <v>457</v>
      </c>
      <c r="J201" s="57" t="s">
        <v>457</v>
      </c>
      <c r="K201" s="60"/>
      <c r="L201" s="64"/>
      <c r="M201" s="63"/>
      <c r="N201" s="64"/>
      <c r="O201" s="64"/>
      <c r="P201" s="64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59">
        <f t="shared" si="16"/>
        <v>45967</v>
      </c>
      <c r="AD201" s="57"/>
      <c r="AE201" s="59">
        <v>45965</v>
      </c>
      <c r="AF201" s="60"/>
      <c r="AG201" s="60"/>
      <c r="AH201" s="83" t="s">
        <v>461</v>
      </c>
      <c r="AI201" s="34"/>
      <c r="AJ201" s="34"/>
    </row>
    <row r="202" spans="1:37" s="2" customFormat="1" ht="16.5" x14ac:dyDescent="0.3">
      <c r="A202" s="27">
        <v>45954</v>
      </c>
      <c r="B202" s="27">
        <v>45953</v>
      </c>
      <c r="C202" s="21" t="s">
        <v>49</v>
      </c>
      <c r="D202" s="57" t="s">
        <v>281</v>
      </c>
      <c r="E202" s="58" t="s">
        <v>447</v>
      </c>
      <c r="F202" s="57" t="s">
        <v>457</v>
      </c>
      <c r="G202" s="57" t="s">
        <v>457</v>
      </c>
      <c r="H202" s="57" t="s">
        <v>457</v>
      </c>
      <c r="I202" s="57" t="s">
        <v>457</v>
      </c>
      <c r="J202" s="57" t="s">
        <v>457</v>
      </c>
      <c r="K202" s="60"/>
      <c r="L202" s="64"/>
      <c r="M202" s="63"/>
      <c r="N202" s="64"/>
      <c r="O202" s="64"/>
      <c r="P202" s="64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59">
        <f t="shared" si="16"/>
        <v>45967</v>
      </c>
      <c r="AD202" s="57"/>
      <c r="AE202" s="59">
        <v>45965</v>
      </c>
      <c r="AF202" s="60"/>
      <c r="AG202" s="60"/>
      <c r="AH202" s="57"/>
      <c r="AI202" s="34"/>
      <c r="AJ202" s="34"/>
    </row>
    <row r="203" spans="1:37" s="2" customFormat="1" ht="16.5" x14ac:dyDescent="0.3">
      <c r="A203" s="27">
        <v>45954</v>
      </c>
      <c r="B203" s="27">
        <v>45953</v>
      </c>
      <c r="C203" s="21" t="s">
        <v>49</v>
      </c>
      <c r="D203" s="57" t="s">
        <v>282</v>
      </c>
      <c r="E203" s="58" t="s">
        <v>448</v>
      </c>
      <c r="F203" s="57" t="s">
        <v>457</v>
      </c>
      <c r="G203" s="57" t="s">
        <v>457</v>
      </c>
      <c r="H203" s="57" t="s">
        <v>457</v>
      </c>
      <c r="I203" s="57" t="s">
        <v>457</v>
      </c>
      <c r="J203" s="57" t="s">
        <v>457</v>
      </c>
      <c r="K203" s="60"/>
      <c r="L203" s="64"/>
      <c r="M203" s="63"/>
      <c r="N203" s="64"/>
      <c r="O203" s="64"/>
      <c r="P203" s="64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59">
        <f t="shared" si="16"/>
        <v>45967</v>
      </c>
      <c r="AD203" s="57"/>
      <c r="AE203" s="59">
        <v>45965</v>
      </c>
      <c r="AF203" s="60"/>
      <c r="AG203" s="60"/>
      <c r="AH203" s="57"/>
      <c r="AI203" s="34"/>
      <c r="AJ203" s="34"/>
    </row>
    <row r="204" spans="1:37" s="2" customFormat="1" ht="16.5" x14ac:dyDescent="0.3">
      <c r="A204" s="27">
        <v>45954</v>
      </c>
      <c r="B204" s="27">
        <v>45953</v>
      </c>
      <c r="C204" s="21" t="s">
        <v>49</v>
      </c>
      <c r="D204" s="83" t="s">
        <v>283</v>
      </c>
      <c r="E204" s="84" t="s">
        <v>449</v>
      </c>
      <c r="F204" s="57" t="s">
        <v>457</v>
      </c>
      <c r="G204" s="57" t="s">
        <v>457</v>
      </c>
      <c r="H204" s="57" t="s">
        <v>457</v>
      </c>
      <c r="I204" s="57" t="s">
        <v>457</v>
      </c>
      <c r="J204" s="57" t="s">
        <v>457</v>
      </c>
      <c r="K204" s="60"/>
      <c r="L204" s="64"/>
      <c r="M204" s="63"/>
      <c r="N204" s="64"/>
      <c r="O204" s="64"/>
      <c r="P204" s="64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59">
        <f t="shared" si="16"/>
        <v>45967</v>
      </c>
      <c r="AD204" s="57"/>
      <c r="AE204" s="59">
        <v>45965</v>
      </c>
      <c r="AF204" s="60"/>
      <c r="AG204" s="60"/>
      <c r="AH204" s="83" t="s">
        <v>461</v>
      </c>
      <c r="AI204" s="34"/>
      <c r="AJ204" s="34"/>
      <c r="AK204" s="90"/>
    </row>
    <row r="205" spans="1:37" s="2" customFormat="1" ht="16.5" x14ac:dyDescent="0.3">
      <c r="A205" s="27">
        <v>45954</v>
      </c>
      <c r="B205" s="27">
        <v>45953</v>
      </c>
      <c r="C205" s="21" t="s">
        <v>49</v>
      </c>
      <c r="D205" s="57" t="s">
        <v>284</v>
      </c>
      <c r="E205" s="58" t="s">
        <v>450</v>
      </c>
      <c r="F205" s="57" t="s">
        <v>457</v>
      </c>
      <c r="G205" s="57" t="s">
        <v>457</v>
      </c>
      <c r="H205" s="57" t="s">
        <v>457</v>
      </c>
      <c r="I205" s="57" t="s">
        <v>457</v>
      </c>
      <c r="J205" s="57" t="s">
        <v>457</v>
      </c>
      <c r="K205" s="57" t="s">
        <v>140</v>
      </c>
      <c r="L205" s="61">
        <v>17.600000000000001</v>
      </c>
      <c r="M205" s="62">
        <v>4.7</v>
      </c>
      <c r="N205" s="61">
        <v>16.5</v>
      </c>
      <c r="O205" s="61">
        <v>26.3</v>
      </c>
      <c r="P205" s="61">
        <v>60.4</v>
      </c>
      <c r="Q205" s="61" t="s">
        <v>140</v>
      </c>
      <c r="R205" s="61" t="s">
        <v>140</v>
      </c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59">
        <f t="shared" si="16"/>
        <v>45967</v>
      </c>
      <c r="AD205" s="57"/>
      <c r="AE205" s="59">
        <v>45965</v>
      </c>
      <c r="AF205" s="59">
        <v>45965</v>
      </c>
      <c r="AG205" s="60"/>
      <c r="AH205" s="57"/>
      <c r="AI205" s="34"/>
      <c r="AJ205" s="34"/>
    </row>
    <row r="206" spans="1:37" s="2" customFormat="1" ht="16.5" x14ac:dyDescent="0.3">
      <c r="A206" s="27">
        <v>45954</v>
      </c>
      <c r="B206" s="27">
        <v>45953</v>
      </c>
      <c r="C206" s="21" t="s">
        <v>49</v>
      </c>
      <c r="D206" s="57" t="s">
        <v>285</v>
      </c>
      <c r="E206" s="58" t="s">
        <v>451</v>
      </c>
      <c r="F206" s="60"/>
      <c r="G206" s="60"/>
      <c r="H206" s="60"/>
      <c r="I206" s="60"/>
      <c r="J206" s="60"/>
      <c r="K206" s="57" t="s">
        <v>140</v>
      </c>
      <c r="L206" s="61">
        <v>17.8</v>
      </c>
      <c r="M206" s="62">
        <v>3.83</v>
      </c>
      <c r="N206" s="61">
        <v>15.8</v>
      </c>
      <c r="O206" s="61">
        <v>27</v>
      </c>
      <c r="P206" s="61">
        <v>56</v>
      </c>
      <c r="Q206" s="61" t="s">
        <v>140</v>
      </c>
      <c r="R206" s="61" t="s">
        <v>140</v>
      </c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59">
        <f t="shared" si="15"/>
        <v>45967</v>
      </c>
      <c r="AD206" s="57"/>
      <c r="AE206" s="60"/>
      <c r="AF206" s="59">
        <v>45965</v>
      </c>
      <c r="AG206" s="60"/>
      <c r="AH206" s="57"/>
      <c r="AI206" s="34"/>
      <c r="AJ206" s="34"/>
    </row>
    <row r="207" spans="1:37" s="2" customFormat="1" ht="16.5" x14ac:dyDescent="0.3">
      <c r="A207" s="27">
        <v>45954</v>
      </c>
      <c r="B207" s="27">
        <v>45953</v>
      </c>
      <c r="C207" s="21" t="s">
        <v>49</v>
      </c>
      <c r="D207" s="57" t="s">
        <v>286</v>
      </c>
      <c r="E207" s="58" t="s">
        <v>452</v>
      </c>
      <c r="F207" s="60"/>
      <c r="G207" s="60"/>
      <c r="H207" s="60"/>
      <c r="I207" s="60"/>
      <c r="J207" s="60"/>
      <c r="K207" s="57" t="s">
        <v>140</v>
      </c>
      <c r="L207" s="61">
        <v>19</v>
      </c>
      <c r="M207" s="62">
        <v>5.47</v>
      </c>
      <c r="N207" s="61">
        <v>12.7</v>
      </c>
      <c r="O207" s="61">
        <v>28</v>
      </c>
      <c r="P207" s="61">
        <v>46.6</v>
      </c>
      <c r="Q207" s="61" t="s">
        <v>140</v>
      </c>
      <c r="R207" s="61" t="s">
        <v>140</v>
      </c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59">
        <f t="shared" si="15"/>
        <v>45967</v>
      </c>
      <c r="AD207" s="57"/>
      <c r="AE207" s="60"/>
      <c r="AF207" s="59">
        <v>45965</v>
      </c>
      <c r="AG207" s="60"/>
      <c r="AH207" s="57"/>
      <c r="AI207" s="34"/>
      <c r="AJ207" s="34"/>
    </row>
    <row r="208" spans="1:37" s="2" customFormat="1" ht="16.5" x14ac:dyDescent="0.3">
      <c r="A208" s="27">
        <v>45954</v>
      </c>
      <c r="B208" s="27">
        <v>45953</v>
      </c>
      <c r="C208" s="21" t="s">
        <v>49</v>
      </c>
      <c r="D208" s="57" t="s">
        <v>287</v>
      </c>
      <c r="E208" s="58" t="s">
        <v>453</v>
      </c>
      <c r="F208" s="57" t="s">
        <v>457</v>
      </c>
      <c r="G208" s="57" t="s">
        <v>457</v>
      </c>
      <c r="H208" s="57" t="s">
        <v>457</v>
      </c>
      <c r="I208" s="57" t="s">
        <v>457</v>
      </c>
      <c r="J208" s="57" t="s">
        <v>457</v>
      </c>
      <c r="K208" s="57" t="s">
        <v>140</v>
      </c>
      <c r="L208" s="61">
        <v>15.3</v>
      </c>
      <c r="M208" s="62">
        <v>6.66</v>
      </c>
      <c r="N208" s="61">
        <v>12.9</v>
      </c>
      <c r="O208" s="61">
        <v>32.5</v>
      </c>
      <c r="P208" s="61">
        <v>51.9</v>
      </c>
      <c r="Q208" s="61" t="s">
        <v>140</v>
      </c>
      <c r="R208" s="61" t="s">
        <v>140</v>
      </c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59">
        <f t="shared" si="15"/>
        <v>45967</v>
      </c>
      <c r="AD208" s="57"/>
      <c r="AE208" s="59">
        <v>45965</v>
      </c>
      <c r="AF208" s="59">
        <v>45965</v>
      </c>
      <c r="AG208" s="60"/>
      <c r="AH208" s="57"/>
      <c r="AI208" s="34"/>
      <c r="AJ208" s="34"/>
    </row>
    <row r="209" spans="1:36" s="2" customFormat="1" ht="16.5" x14ac:dyDescent="0.3">
      <c r="A209" s="27">
        <v>45954</v>
      </c>
      <c r="B209" s="27">
        <v>45953</v>
      </c>
      <c r="C209" s="21" t="s">
        <v>49</v>
      </c>
      <c r="D209" s="57" t="s">
        <v>455</v>
      </c>
      <c r="E209" s="58" t="s">
        <v>456</v>
      </c>
      <c r="F209" s="57" t="s">
        <v>457</v>
      </c>
      <c r="G209" s="57" t="s">
        <v>457</v>
      </c>
      <c r="H209" s="57" t="s">
        <v>457</v>
      </c>
      <c r="I209" s="57" t="s">
        <v>457</v>
      </c>
      <c r="J209" s="57" t="s">
        <v>457</v>
      </c>
      <c r="K209" s="57" t="s">
        <v>140</v>
      </c>
      <c r="L209" s="61">
        <v>15.1</v>
      </c>
      <c r="M209" s="62">
        <v>5.8</v>
      </c>
      <c r="N209" s="61">
        <v>12.9</v>
      </c>
      <c r="O209" s="61">
        <v>32</v>
      </c>
      <c r="P209" s="61">
        <v>51.3</v>
      </c>
      <c r="Q209" s="61" t="s">
        <v>140</v>
      </c>
      <c r="R209" s="61" t="s">
        <v>140</v>
      </c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59">
        <f t="shared" ref="AC209" si="17">B209+14</f>
        <v>45967</v>
      </c>
      <c r="AD209" s="57"/>
      <c r="AE209" s="59">
        <v>45965</v>
      </c>
      <c r="AF209" s="59">
        <v>45965</v>
      </c>
      <c r="AG209" s="60"/>
      <c r="AH209" s="57"/>
      <c r="AI209" s="34"/>
      <c r="AJ209" s="34"/>
    </row>
    <row r="210" spans="1:36" s="2" customFormat="1" ht="17.25" thickBot="1" x14ac:dyDescent="0.35">
      <c r="A210" s="75">
        <v>45954</v>
      </c>
      <c r="B210" s="75">
        <v>45953</v>
      </c>
      <c r="C210" s="76" t="s">
        <v>49</v>
      </c>
      <c r="D210" s="77" t="s">
        <v>288</v>
      </c>
      <c r="E210" s="78" t="s">
        <v>454</v>
      </c>
      <c r="F210" s="77" t="s">
        <v>457</v>
      </c>
      <c r="G210" s="77" t="s">
        <v>457</v>
      </c>
      <c r="H210" s="77" t="s">
        <v>457</v>
      </c>
      <c r="I210" s="77" t="s">
        <v>457</v>
      </c>
      <c r="J210" s="77" t="s">
        <v>457</v>
      </c>
      <c r="K210" s="77" t="s">
        <v>140</v>
      </c>
      <c r="L210" s="79">
        <v>13.6</v>
      </c>
      <c r="M210" s="80">
        <v>3.69</v>
      </c>
      <c r="N210" s="79">
        <v>13.3</v>
      </c>
      <c r="O210" s="79">
        <v>28.4</v>
      </c>
      <c r="P210" s="79">
        <v>46.3</v>
      </c>
      <c r="Q210" s="79" t="s">
        <v>140</v>
      </c>
      <c r="R210" s="79" t="s">
        <v>140</v>
      </c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2">
        <f t="shared" si="15"/>
        <v>45967</v>
      </c>
      <c r="AD210" s="77"/>
      <c r="AE210" s="82">
        <v>45965</v>
      </c>
      <c r="AF210" s="82">
        <v>45965</v>
      </c>
      <c r="AG210" s="81"/>
      <c r="AH210" s="77"/>
      <c r="AI210" s="34"/>
      <c r="AJ210" s="34"/>
    </row>
    <row r="211" spans="1:36" s="2" customFormat="1" ht="17.25" thickTop="1" x14ac:dyDescent="0.3">
      <c r="A211" s="27">
        <v>46009</v>
      </c>
      <c r="B211" s="27">
        <v>46006</v>
      </c>
      <c r="C211" s="21" t="s">
        <v>49</v>
      </c>
      <c r="D211" s="69" t="s">
        <v>462</v>
      </c>
      <c r="E211" s="70" t="s">
        <v>550</v>
      </c>
      <c r="F211" s="70" t="s">
        <v>140</v>
      </c>
      <c r="G211" s="69" t="s">
        <v>1036</v>
      </c>
      <c r="H211" s="69" t="s">
        <v>457</v>
      </c>
      <c r="I211" s="69" t="s">
        <v>457</v>
      </c>
      <c r="J211" s="69" t="s">
        <v>1037</v>
      </c>
      <c r="K211" s="71"/>
      <c r="L211" s="72"/>
      <c r="M211" s="73"/>
      <c r="N211" s="72"/>
      <c r="O211" s="72"/>
      <c r="P211" s="72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4">
        <f t="shared" si="15"/>
        <v>46020</v>
      </c>
      <c r="AD211" s="69"/>
      <c r="AE211" s="74">
        <v>46020</v>
      </c>
      <c r="AF211" s="71"/>
      <c r="AG211" s="71"/>
      <c r="AH211" s="69" t="s">
        <v>549</v>
      </c>
      <c r="AI211" s="34"/>
      <c r="AJ211" s="34"/>
    </row>
    <row r="212" spans="1:36" s="2" customFormat="1" ht="16.5" x14ac:dyDescent="0.3">
      <c r="A212" s="27">
        <v>46009</v>
      </c>
      <c r="B212" s="27">
        <v>46006</v>
      </c>
      <c r="C212" s="21" t="s">
        <v>49</v>
      </c>
      <c r="D212" s="57" t="s">
        <v>463</v>
      </c>
      <c r="E212" s="70" t="s">
        <v>551</v>
      </c>
      <c r="F212" s="58">
        <v>1058</v>
      </c>
      <c r="G212" s="57" t="s">
        <v>1037</v>
      </c>
      <c r="H212" s="57" t="s">
        <v>1037</v>
      </c>
      <c r="I212" s="57" t="s">
        <v>457</v>
      </c>
      <c r="J212" s="57" t="s">
        <v>1037</v>
      </c>
      <c r="K212" s="60"/>
      <c r="L212" s="64"/>
      <c r="M212" s="63"/>
      <c r="N212" s="64"/>
      <c r="O212" s="64"/>
      <c r="P212" s="64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59">
        <f t="shared" ref="AC212:AC279" si="18">B212+14</f>
        <v>46020</v>
      </c>
      <c r="AD212" s="57"/>
      <c r="AE212" s="74">
        <v>46020</v>
      </c>
      <c r="AF212" s="60"/>
      <c r="AG212" s="60"/>
      <c r="AH212" s="57"/>
      <c r="AI212" s="34"/>
      <c r="AJ212" s="34"/>
    </row>
    <row r="213" spans="1:36" s="2" customFormat="1" ht="16.5" x14ac:dyDescent="0.3">
      <c r="A213" s="27">
        <v>46009</v>
      </c>
      <c r="B213" s="27">
        <v>46006</v>
      </c>
      <c r="C213" s="21" t="s">
        <v>49</v>
      </c>
      <c r="D213" s="57" t="s">
        <v>465</v>
      </c>
      <c r="E213" s="70" t="s">
        <v>552</v>
      </c>
      <c r="F213" s="58">
        <v>1824</v>
      </c>
      <c r="G213" s="57" t="s">
        <v>1037</v>
      </c>
      <c r="H213" s="57" t="s">
        <v>1037</v>
      </c>
      <c r="I213" s="57" t="s">
        <v>457</v>
      </c>
      <c r="J213" s="57" t="s">
        <v>1037</v>
      </c>
      <c r="K213" s="60"/>
      <c r="L213" s="64"/>
      <c r="M213" s="63"/>
      <c r="N213" s="64"/>
      <c r="O213" s="64"/>
      <c r="P213" s="64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59">
        <f t="shared" si="18"/>
        <v>46020</v>
      </c>
      <c r="AD213" s="57"/>
      <c r="AE213" s="74">
        <v>46020</v>
      </c>
      <c r="AF213" s="60"/>
      <c r="AG213" s="60"/>
      <c r="AH213" s="57"/>
      <c r="AI213" s="34"/>
      <c r="AJ213" s="34"/>
    </row>
    <row r="214" spans="1:36" s="2" customFormat="1" ht="16.5" x14ac:dyDescent="0.3">
      <c r="A214" s="27">
        <v>46009</v>
      </c>
      <c r="B214" s="27">
        <v>46006</v>
      </c>
      <c r="C214" s="21" t="s">
        <v>49</v>
      </c>
      <c r="D214" s="57" t="s">
        <v>467</v>
      </c>
      <c r="E214" s="70" t="s">
        <v>553</v>
      </c>
      <c r="F214" s="58">
        <v>176</v>
      </c>
      <c r="G214" s="57" t="s">
        <v>1037</v>
      </c>
      <c r="H214" s="57" t="s">
        <v>1037</v>
      </c>
      <c r="I214" s="57" t="s">
        <v>457</v>
      </c>
      <c r="J214" s="57" t="s">
        <v>1037</v>
      </c>
      <c r="K214" s="60"/>
      <c r="L214" s="64"/>
      <c r="M214" s="63"/>
      <c r="N214" s="64"/>
      <c r="O214" s="64"/>
      <c r="P214" s="64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59">
        <f t="shared" si="18"/>
        <v>46020</v>
      </c>
      <c r="AD214" s="57"/>
      <c r="AE214" s="74">
        <v>46020</v>
      </c>
      <c r="AF214" s="60"/>
      <c r="AG214" s="60"/>
      <c r="AH214" s="57"/>
      <c r="AI214" s="34"/>
      <c r="AJ214" s="34"/>
    </row>
    <row r="215" spans="1:36" s="2" customFormat="1" ht="16.5" x14ac:dyDescent="0.3">
      <c r="A215" s="27">
        <v>46009</v>
      </c>
      <c r="B215" s="27">
        <v>46006</v>
      </c>
      <c r="C215" s="21" t="s">
        <v>49</v>
      </c>
      <c r="D215" s="57" t="s">
        <v>468</v>
      </c>
      <c r="E215" s="70" t="s">
        <v>554</v>
      </c>
      <c r="F215" s="58" t="s">
        <v>140</v>
      </c>
      <c r="G215" s="57" t="s">
        <v>1037</v>
      </c>
      <c r="H215" s="57" t="s">
        <v>1037</v>
      </c>
      <c r="I215" s="57" t="s">
        <v>457</v>
      </c>
      <c r="J215" s="57" t="s">
        <v>1037</v>
      </c>
      <c r="K215" s="60"/>
      <c r="L215" s="64"/>
      <c r="M215" s="63"/>
      <c r="N215" s="64"/>
      <c r="O215" s="64"/>
      <c r="P215" s="64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59">
        <f t="shared" si="18"/>
        <v>46020</v>
      </c>
      <c r="AD215" s="57"/>
      <c r="AE215" s="74">
        <v>46020</v>
      </c>
      <c r="AF215" s="60"/>
      <c r="AG215" s="60"/>
      <c r="AH215" s="57"/>
      <c r="AI215" s="34"/>
      <c r="AJ215" s="34"/>
    </row>
    <row r="216" spans="1:36" s="2" customFormat="1" ht="16.5" x14ac:dyDescent="0.3">
      <c r="A216" s="27">
        <v>46009</v>
      </c>
      <c r="B216" s="27">
        <v>46006</v>
      </c>
      <c r="C216" s="21" t="s">
        <v>49</v>
      </c>
      <c r="D216" s="57" t="s">
        <v>469</v>
      </c>
      <c r="E216" s="70" t="s">
        <v>555</v>
      </c>
      <c r="F216" s="58" t="s">
        <v>140</v>
      </c>
      <c r="G216" s="57" t="s">
        <v>1037</v>
      </c>
      <c r="H216" s="57" t="s">
        <v>1037</v>
      </c>
      <c r="I216" s="57" t="s">
        <v>457</v>
      </c>
      <c r="J216" s="57" t="s">
        <v>1037</v>
      </c>
      <c r="K216" s="60"/>
      <c r="L216" s="64"/>
      <c r="M216" s="63"/>
      <c r="N216" s="64"/>
      <c r="O216" s="64"/>
      <c r="P216" s="64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59">
        <f t="shared" si="18"/>
        <v>46020</v>
      </c>
      <c r="AD216" s="57"/>
      <c r="AE216" s="74">
        <v>46020</v>
      </c>
      <c r="AF216" s="60"/>
      <c r="AG216" s="60"/>
      <c r="AH216" s="57"/>
      <c r="AI216" s="34"/>
      <c r="AJ216" s="34"/>
    </row>
    <row r="217" spans="1:36" s="2" customFormat="1" ht="16.5" x14ac:dyDescent="0.3">
      <c r="A217" s="27">
        <v>46009</v>
      </c>
      <c r="B217" s="27">
        <v>46006</v>
      </c>
      <c r="C217" s="21" t="s">
        <v>49</v>
      </c>
      <c r="D217" s="57" t="s">
        <v>470</v>
      </c>
      <c r="E217" s="70" t="s">
        <v>556</v>
      </c>
      <c r="F217" s="58" t="s">
        <v>140</v>
      </c>
      <c r="G217" s="57" t="s">
        <v>1037</v>
      </c>
      <c r="H217" s="57" t="s">
        <v>1037</v>
      </c>
      <c r="I217" s="57" t="s">
        <v>457</v>
      </c>
      <c r="J217" s="57" t="s">
        <v>1037</v>
      </c>
      <c r="K217" s="60"/>
      <c r="L217" s="64"/>
      <c r="M217" s="63"/>
      <c r="N217" s="64"/>
      <c r="O217" s="64"/>
      <c r="P217" s="64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59">
        <f t="shared" si="18"/>
        <v>46020</v>
      </c>
      <c r="AD217" s="57"/>
      <c r="AE217" s="74">
        <v>46020</v>
      </c>
      <c r="AF217" s="60"/>
      <c r="AG217" s="60"/>
      <c r="AH217" s="57"/>
      <c r="AI217" s="34"/>
      <c r="AJ217" s="34"/>
    </row>
    <row r="218" spans="1:36" s="2" customFormat="1" ht="16.5" x14ac:dyDescent="0.3">
      <c r="A218" s="27">
        <v>46009</v>
      </c>
      <c r="B218" s="27">
        <v>46006</v>
      </c>
      <c r="C218" s="21" t="s">
        <v>49</v>
      </c>
      <c r="D218" s="57" t="s">
        <v>471</v>
      </c>
      <c r="E218" s="70" t="s">
        <v>557</v>
      </c>
      <c r="F218" s="58" t="s">
        <v>140</v>
      </c>
      <c r="G218" s="57" t="s">
        <v>1037</v>
      </c>
      <c r="H218" s="57" t="s">
        <v>1037</v>
      </c>
      <c r="I218" s="57" t="s">
        <v>457</v>
      </c>
      <c r="J218" s="57" t="s">
        <v>1037</v>
      </c>
      <c r="K218" s="60"/>
      <c r="L218" s="64"/>
      <c r="M218" s="63"/>
      <c r="N218" s="64"/>
      <c r="O218" s="64"/>
      <c r="P218" s="64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59">
        <f t="shared" si="18"/>
        <v>46020</v>
      </c>
      <c r="AD218" s="57"/>
      <c r="AE218" s="74">
        <v>46020</v>
      </c>
      <c r="AF218" s="60"/>
      <c r="AG218" s="60"/>
      <c r="AH218" s="57"/>
      <c r="AI218" s="34"/>
      <c r="AJ218" s="34"/>
    </row>
    <row r="219" spans="1:36" s="2" customFormat="1" ht="16.5" x14ac:dyDescent="0.3">
      <c r="A219" s="27">
        <v>46009</v>
      </c>
      <c r="B219" s="27">
        <v>46006</v>
      </c>
      <c r="C219" s="21" t="s">
        <v>49</v>
      </c>
      <c r="D219" s="57" t="s">
        <v>472</v>
      </c>
      <c r="E219" s="70" t="s">
        <v>558</v>
      </c>
      <c r="F219" s="58">
        <v>682</v>
      </c>
      <c r="G219" s="57" t="s">
        <v>1037</v>
      </c>
      <c r="H219" s="57" t="s">
        <v>1037</v>
      </c>
      <c r="I219" s="57" t="s">
        <v>457</v>
      </c>
      <c r="J219" s="57" t="s">
        <v>1037</v>
      </c>
      <c r="K219" s="60"/>
      <c r="L219" s="64"/>
      <c r="M219" s="63"/>
      <c r="N219" s="64"/>
      <c r="O219" s="64"/>
      <c r="P219" s="64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59">
        <f t="shared" si="18"/>
        <v>46020</v>
      </c>
      <c r="AD219" s="57"/>
      <c r="AE219" s="74">
        <v>46020</v>
      </c>
      <c r="AF219" s="60"/>
      <c r="AG219" s="60"/>
      <c r="AH219" s="57"/>
      <c r="AI219" s="34"/>
      <c r="AJ219" s="34"/>
    </row>
    <row r="220" spans="1:36" s="2" customFormat="1" ht="16.5" x14ac:dyDescent="0.3">
      <c r="A220" s="27">
        <v>46009</v>
      </c>
      <c r="B220" s="27">
        <v>46006</v>
      </c>
      <c r="C220" s="21" t="s">
        <v>49</v>
      </c>
      <c r="D220" s="57" t="s">
        <v>473</v>
      </c>
      <c r="E220" s="70" t="s">
        <v>559</v>
      </c>
      <c r="F220" s="58" t="s">
        <v>140</v>
      </c>
      <c r="G220" s="57" t="s">
        <v>1037</v>
      </c>
      <c r="H220" s="57" t="s">
        <v>1037</v>
      </c>
      <c r="I220" s="57" t="s">
        <v>457</v>
      </c>
      <c r="J220" s="57" t="s">
        <v>1037</v>
      </c>
      <c r="K220" s="60"/>
      <c r="L220" s="64"/>
      <c r="M220" s="63"/>
      <c r="N220" s="64"/>
      <c r="O220" s="64"/>
      <c r="P220" s="64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59">
        <f t="shared" si="18"/>
        <v>46020</v>
      </c>
      <c r="AD220" s="57"/>
      <c r="AE220" s="74">
        <v>46020</v>
      </c>
      <c r="AF220" s="60"/>
      <c r="AG220" s="60"/>
      <c r="AH220" s="57"/>
      <c r="AI220" s="34"/>
      <c r="AJ220" s="34"/>
    </row>
    <row r="221" spans="1:36" s="2" customFormat="1" ht="16.5" x14ac:dyDescent="0.3">
      <c r="A221" s="27">
        <v>46009</v>
      </c>
      <c r="B221" s="27">
        <v>46006</v>
      </c>
      <c r="C221" s="21" t="s">
        <v>49</v>
      </c>
      <c r="D221" s="57" t="s">
        <v>474</v>
      </c>
      <c r="E221" s="70" t="s">
        <v>560</v>
      </c>
      <c r="F221" s="58">
        <v>141</v>
      </c>
      <c r="G221" s="57" t="s">
        <v>1037</v>
      </c>
      <c r="H221" s="57" t="s">
        <v>1037</v>
      </c>
      <c r="I221" s="57" t="s">
        <v>457</v>
      </c>
      <c r="J221" s="57" t="s">
        <v>1037</v>
      </c>
      <c r="K221" s="60"/>
      <c r="L221" s="64"/>
      <c r="M221" s="63"/>
      <c r="N221" s="64"/>
      <c r="O221" s="64"/>
      <c r="P221" s="64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59">
        <f t="shared" si="18"/>
        <v>46020</v>
      </c>
      <c r="AD221" s="57"/>
      <c r="AE221" s="74">
        <v>46020</v>
      </c>
      <c r="AF221" s="60"/>
      <c r="AG221" s="60"/>
      <c r="AH221" s="57"/>
      <c r="AI221" s="34"/>
      <c r="AJ221" s="34"/>
    </row>
    <row r="222" spans="1:36" s="2" customFormat="1" ht="16.5" x14ac:dyDescent="0.3">
      <c r="A222" s="27">
        <v>46009</v>
      </c>
      <c r="B222" s="27">
        <v>46006</v>
      </c>
      <c r="C222" s="21" t="s">
        <v>49</v>
      </c>
      <c r="D222" s="57" t="s">
        <v>475</v>
      </c>
      <c r="E222" s="70" t="s">
        <v>561</v>
      </c>
      <c r="F222" s="58">
        <v>982</v>
      </c>
      <c r="G222" s="57" t="s">
        <v>1037</v>
      </c>
      <c r="H222" s="57" t="s">
        <v>1037</v>
      </c>
      <c r="I222" s="57" t="s">
        <v>457</v>
      </c>
      <c r="J222" s="57" t="s">
        <v>1037</v>
      </c>
      <c r="K222" s="60"/>
      <c r="L222" s="64"/>
      <c r="M222" s="63"/>
      <c r="N222" s="64"/>
      <c r="O222" s="64"/>
      <c r="P222" s="64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59">
        <f t="shared" si="18"/>
        <v>46020</v>
      </c>
      <c r="AD222" s="57"/>
      <c r="AE222" s="74">
        <v>46020</v>
      </c>
      <c r="AF222" s="60"/>
      <c r="AG222" s="60"/>
      <c r="AH222" s="57"/>
      <c r="AI222" s="34"/>
      <c r="AJ222" s="34"/>
    </row>
    <row r="223" spans="1:36" s="2" customFormat="1" ht="16.5" x14ac:dyDescent="0.3">
      <c r="A223" s="27">
        <v>46009</v>
      </c>
      <c r="B223" s="27">
        <v>46006</v>
      </c>
      <c r="C223" s="21" t="s">
        <v>49</v>
      </c>
      <c r="D223" s="57" t="s">
        <v>476</v>
      </c>
      <c r="E223" s="70" t="s">
        <v>562</v>
      </c>
      <c r="F223" s="58">
        <v>341</v>
      </c>
      <c r="G223" s="57" t="s">
        <v>1037</v>
      </c>
      <c r="H223" s="57" t="s">
        <v>1037</v>
      </c>
      <c r="I223" s="57" t="s">
        <v>457</v>
      </c>
      <c r="J223" s="57" t="s">
        <v>1037</v>
      </c>
      <c r="K223" s="60"/>
      <c r="L223" s="64"/>
      <c r="M223" s="63"/>
      <c r="N223" s="64"/>
      <c r="O223" s="64"/>
      <c r="P223" s="64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59">
        <f t="shared" si="18"/>
        <v>46020</v>
      </c>
      <c r="AD223" s="57"/>
      <c r="AE223" s="74">
        <v>46020</v>
      </c>
      <c r="AF223" s="60"/>
      <c r="AG223" s="60"/>
      <c r="AH223" s="57"/>
      <c r="AI223" s="34"/>
      <c r="AJ223" s="34"/>
    </row>
    <row r="224" spans="1:36" s="2" customFormat="1" ht="16.5" x14ac:dyDescent="0.3">
      <c r="A224" s="27">
        <v>46009</v>
      </c>
      <c r="B224" s="27">
        <v>46006</v>
      </c>
      <c r="C224" s="21" t="s">
        <v>49</v>
      </c>
      <c r="D224" s="57" t="s">
        <v>477</v>
      </c>
      <c r="E224" s="70" t="s">
        <v>563</v>
      </c>
      <c r="F224" s="58" t="s">
        <v>140</v>
      </c>
      <c r="G224" s="57" t="s">
        <v>1037</v>
      </c>
      <c r="H224" s="57" t="s">
        <v>1037</v>
      </c>
      <c r="I224" s="57" t="s">
        <v>457</v>
      </c>
      <c r="J224" s="57" t="s">
        <v>1037</v>
      </c>
      <c r="K224" s="60"/>
      <c r="L224" s="64"/>
      <c r="M224" s="63"/>
      <c r="N224" s="64"/>
      <c r="O224" s="64"/>
      <c r="P224" s="64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59">
        <f t="shared" si="18"/>
        <v>46020</v>
      </c>
      <c r="AD224" s="57"/>
      <c r="AE224" s="74">
        <v>46020</v>
      </c>
      <c r="AF224" s="60"/>
      <c r="AG224" s="60"/>
      <c r="AH224" s="57"/>
      <c r="AI224" s="34"/>
      <c r="AJ224" s="34"/>
    </row>
    <row r="225" spans="1:36" s="2" customFormat="1" ht="16.5" x14ac:dyDescent="0.3">
      <c r="A225" s="27">
        <v>46009</v>
      </c>
      <c r="B225" s="27">
        <v>46006</v>
      </c>
      <c r="C225" s="21" t="s">
        <v>49</v>
      </c>
      <c r="D225" s="57" t="s">
        <v>478</v>
      </c>
      <c r="E225" s="70" t="s">
        <v>564</v>
      </c>
      <c r="F225" s="58" t="s">
        <v>140</v>
      </c>
      <c r="G225" s="57" t="s">
        <v>1037</v>
      </c>
      <c r="H225" s="57" t="s">
        <v>1037</v>
      </c>
      <c r="I225" s="57" t="s">
        <v>457</v>
      </c>
      <c r="J225" s="57" t="s">
        <v>1037</v>
      </c>
      <c r="K225" s="60"/>
      <c r="L225" s="64"/>
      <c r="M225" s="63"/>
      <c r="N225" s="64"/>
      <c r="O225" s="64"/>
      <c r="P225" s="64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59">
        <f t="shared" si="18"/>
        <v>46020</v>
      </c>
      <c r="AD225" s="57"/>
      <c r="AE225" s="74">
        <v>46020</v>
      </c>
      <c r="AF225" s="60"/>
      <c r="AG225" s="60"/>
      <c r="AH225" s="57"/>
      <c r="AI225" s="34"/>
      <c r="AJ225" s="34"/>
    </row>
    <row r="226" spans="1:36" s="2" customFormat="1" ht="16.5" x14ac:dyDescent="0.3">
      <c r="A226" s="27">
        <v>46009</v>
      </c>
      <c r="B226" s="27">
        <v>46006</v>
      </c>
      <c r="C226" s="21" t="s">
        <v>49</v>
      </c>
      <c r="D226" s="57" t="s">
        <v>479</v>
      </c>
      <c r="E226" s="70" t="s">
        <v>565</v>
      </c>
      <c r="F226" s="58" t="s">
        <v>140</v>
      </c>
      <c r="G226" s="57" t="s">
        <v>1037</v>
      </c>
      <c r="H226" s="57" t="s">
        <v>1037</v>
      </c>
      <c r="I226" s="57" t="s">
        <v>457</v>
      </c>
      <c r="J226" s="57" t="s">
        <v>1037</v>
      </c>
      <c r="K226" s="60"/>
      <c r="L226" s="64"/>
      <c r="M226" s="63"/>
      <c r="N226" s="64"/>
      <c r="O226" s="64"/>
      <c r="P226" s="64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59">
        <f t="shared" si="18"/>
        <v>46020</v>
      </c>
      <c r="AD226" s="57"/>
      <c r="AE226" s="74">
        <v>46020</v>
      </c>
      <c r="AF226" s="60"/>
      <c r="AG226" s="60"/>
      <c r="AH226" s="57"/>
      <c r="AI226" s="34"/>
      <c r="AJ226" s="34"/>
    </row>
    <row r="227" spans="1:36" s="2" customFormat="1" ht="16.5" x14ac:dyDescent="0.3">
      <c r="A227" s="27">
        <v>46009</v>
      </c>
      <c r="B227" s="27">
        <v>46006</v>
      </c>
      <c r="C227" s="21" t="s">
        <v>49</v>
      </c>
      <c r="D227" s="57" t="s">
        <v>480</v>
      </c>
      <c r="E227" s="70" t="s">
        <v>566</v>
      </c>
      <c r="F227" s="58" t="s">
        <v>140</v>
      </c>
      <c r="G227" s="57" t="s">
        <v>1037</v>
      </c>
      <c r="H227" s="57" t="s">
        <v>1037</v>
      </c>
      <c r="I227" s="57" t="s">
        <v>457</v>
      </c>
      <c r="J227" s="57" t="s">
        <v>1037</v>
      </c>
      <c r="K227" s="60"/>
      <c r="L227" s="64"/>
      <c r="M227" s="63"/>
      <c r="N227" s="64"/>
      <c r="O227" s="64"/>
      <c r="P227" s="64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59">
        <f t="shared" si="18"/>
        <v>46020</v>
      </c>
      <c r="AD227" s="57"/>
      <c r="AE227" s="74">
        <v>46020</v>
      </c>
      <c r="AF227" s="60"/>
      <c r="AG227" s="60"/>
      <c r="AH227" s="57"/>
      <c r="AI227" s="34"/>
      <c r="AJ227" s="34"/>
    </row>
    <row r="228" spans="1:36" s="2" customFormat="1" ht="16.5" x14ac:dyDescent="0.3">
      <c r="A228" s="27">
        <v>46009</v>
      </c>
      <c r="B228" s="27">
        <v>46006</v>
      </c>
      <c r="C228" s="21" t="s">
        <v>49</v>
      </c>
      <c r="D228" s="57" t="s">
        <v>481</v>
      </c>
      <c r="E228" s="70" t="s">
        <v>567</v>
      </c>
      <c r="F228" s="58" t="s">
        <v>140</v>
      </c>
      <c r="G228" s="57" t="s">
        <v>1037</v>
      </c>
      <c r="H228" s="57" t="s">
        <v>1037</v>
      </c>
      <c r="I228" s="57" t="s">
        <v>457</v>
      </c>
      <c r="J228" s="57" t="s">
        <v>1037</v>
      </c>
      <c r="K228" s="60"/>
      <c r="L228" s="64"/>
      <c r="M228" s="63"/>
      <c r="N228" s="64"/>
      <c r="O228" s="64"/>
      <c r="P228" s="64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59">
        <f t="shared" si="18"/>
        <v>46020</v>
      </c>
      <c r="AD228" s="57"/>
      <c r="AE228" s="74">
        <v>46020</v>
      </c>
      <c r="AF228" s="60"/>
      <c r="AG228" s="60"/>
      <c r="AH228" s="57"/>
      <c r="AI228" s="34"/>
      <c r="AJ228" s="34"/>
    </row>
    <row r="229" spans="1:36" s="2" customFormat="1" ht="16.5" x14ac:dyDescent="0.3">
      <c r="A229" s="27">
        <v>46009</v>
      </c>
      <c r="B229" s="27">
        <v>46006</v>
      </c>
      <c r="C229" s="21" t="s">
        <v>49</v>
      </c>
      <c r="D229" s="57" t="s">
        <v>568</v>
      </c>
      <c r="E229" s="70" t="s">
        <v>569</v>
      </c>
      <c r="F229" s="58" t="s">
        <v>140</v>
      </c>
      <c r="G229" s="57" t="s">
        <v>1037</v>
      </c>
      <c r="H229" s="57" t="s">
        <v>1037</v>
      </c>
      <c r="I229" s="57" t="s">
        <v>457</v>
      </c>
      <c r="J229" s="57" t="s">
        <v>1037</v>
      </c>
      <c r="K229" s="60"/>
      <c r="L229" s="64"/>
      <c r="M229" s="63"/>
      <c r="N229" s="64"/>
      <c r="O229" s="64"/>
      <c r="P229" s="64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59">
        <f t="shared" ref="AC229:AC230" si="19">B229+14</f>
        <v>46020</v>
      </c>
      <c r="AD229" s="57"/>
      <c r="AE229" s="74">
        <v>46020</v>
      </c>
      <c r="AF229" s="60"/>
      <c r="AG229" s="60"/>
      <c r="AH229" s="57"/>
      <c r="AI229" s="34"/>
      <c r="AJ229" s="34"/>
    </row>
    <row r="230" spans="1:36" s="2" customFormat="1" ht="16.5" x14ac:dyDescent="0.3">
      <c r="A230" s="27">
        <v>46009</v>
      </c>
      <c r="B230" s="27">
        <v>46006</v>
      </c>
      <c r="C230" s="21" t="s">
        <v>49</v>
      </c>
      <c r="D230" s="57" t="s">
        <v>570</v>
      </c>
      <c r="E230" s="70" t="s">
        <v>571</v>
      </c>
      <c r="F230" s="58" t="s">
        <v>140</v>
      </c>
      <c r="G230" s="57" t="s">
        <v>1037</v>
      </c>
      <c r="H230" s="57" t="s">
        <v>1037</v>
      </c>
      <c r="I230" s="57" t="s">
        <v>457</v>
      </c>
      <c r="J230" s="57" t="s">
        <v>1037</v>
      </c>
      <c r="K230" s="60"/>
      <c r="L230" s="61">
        <v>1.4</v>
      </c>
      <c r="M230" s="63"/>
      <c r="N230" s="61" t="s">
        <v>140</v>
      </c>
      <c r="O230" s="64"/>
      <c r="P230" s="64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59">
        <f t="shared" si="19"/>
        <v>46020</v>
      </c>
      <c r="AD230" s="57"/>
      <c r="AE230" s="74">
        <v>46020</v>
      </c>
      <c r="AF230" s="59">
        <v>46020</v>
      </c>
      <c r="AG230" s="60"/>
      <c r="AH230" s="57"/>
      <c r="AI230" s="34"/>
      <c r="AJ230" s="34"/>
    </row>
    <row r="231" spans="1:36" s="2" customFormat="1" ht="16.5" x14ac:dyDescent="0.3">
      <c r="A231" s="27">
        <v>46009</v>
      </c>
      <c r="B231" s="27">
        <v>46007</v>
      </c>
      <c r="C231" s="21" t="s">
        <v>49</v>
      </c>
      <c r="D231" s="57" t="s">
        <v>482</v>
      </c>
      <c r="E231" s="70" t="s">
        <v>573</v>
      </c>
      <c r="F231" s="58" t="s">
        <v>140</v>
      </c>
      <c r="G231" s="57" t="s">
        <v>457</v>
      </c>
      <c r="H231" s="57" t="s">
        <v>457</v>
      </c>
      <c r="I231" s="57" t="s">
        <v>457</v>
      </c>
      <c r="J231" s="57" t="s">
        <v>457</v>
      </c>
      <c r="K231" s="60"/>
      <c r="L231" s="64"/>
      <c r="M231" s="63"/>
      <c r="N231" s="64"/>
      <c r="O231" s="64"/>
      <c r="P231" s="64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59">
        <f t="shared" si="18"/>
        <v>46021</v>
      </c>
      <c r="AD231" s="57"/>
      <c r="AE231" s="74">
        <v>46021</v>
      </c>
      <c r="AF231" s="60"/>
      <c r="AG231" s="60"/>
      <c r="AH231" s="57"/>
      <c r="AI231" s="34"/>
      <c r="AJ231" s="34"/>
    </row>
    <row r="232" spans="1:36" s="2" customFormat="1" ht="16.5" x14ac:dyDescent="0.3">
      <c r="A232" s="27">
        <v>46009</v>
      </c>
      <c r="B232" s="27">
        <v>46007</v>
      </c>
      <c r="C232" s="21" t="s">
        <v>49</v>
      </c>
      <c r="D232" s="57" t="s">
        <v>483</v>
      </c>
      <c r="E232" s="70" t="s">
        <v>574</v>
      </c>
      <c r="F232" s="58" t="s">
        <v>140</v>
      </c>
      <c r="G232" s="57" t="s">
        <v>457</v>
      </c>
      <c r="H232" s="57" t="s">
        <v>457</v>
      </c>
      <c r="I232" s="57" t="s">
        <v>457</v>
      </c>
      <c r="J232" s="57" t="s">
        <v>457</v>
      </c>
      <c r="K232" s="60"/>
      <c r="L232" s="64"/>
      <c r="M232" s="63"/>
      <c r="N232" s="64"/>
      <c r="O232" s="64"/>
      <c r="P232" s="64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59">
        <f t="shared" si="18"/>
        <v>46021</v>
      </c>
      <c r="AD232" s="57"/>
      <c r="AE232" s="74">
        <v>46021</v>
      </c>
      <c r="AF232" s="60"/>
      <c r="AG232" s="60"/>
      <c r="AH232" s="57"/>
      <c r="AI232" s="34"/>
      <c r="AJ232" s="34"/>
    </row>
    <row r="233" spans="1:36" s="2" customFormat="1" ht="16.5" x14ac:dyDescent="0.3">
      <c r="A233" s="27">
        <v>46009</v>
      </c>
      <c r="B233" s="27">
        <v>46007</v>
      </c>
      <c r="C233" s="21" t="s">
        <v>49</v>
      </c>
      <c r="D233" s="57" t="s">
        <v>484</v>
      </c>
      <c r="E233" s="70" t="s">
        <v>575</v>
      </c>
      <c r="F233" s="58">
        <v>133</v>
      </c>
      <c r="G233" s="57" t="s">
        <v>457</v>
      </c>
      <c r="H233" s="57" t="s">
        <v>457</v>
      </c>
      <c r="I233" s="57" t="s">
        <v>457</v>
      </c>
      <c r="J233" s="57" t="s">
        <v>457</v>
      </c>
      <c r="K233" s="60"/>
      <c r="L233" s="64"/>
      <c r="M233" s="63"/>
      <c r="N233" s="64"/>
      <c r="O233" s="64"/>
      <c r="P233" s="64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59">
        <f t="shared" si="18"/>
        <v>46021</v>
      </c>
      <c r="AD233" s="57"/>
      <c r="AE233" s="74">
        <v>46021</v>
      </c>
      <c r="AF233" s="60"/>
      <c r="AG233" s="60"/>
      <c r="AH233" s="57"/>
      <c r="AI233" s="34"/>
      <c r="AJ233" s="34"/>
    </row>
    <row r="234" spans="1:36" s="2" customFormat="1" ht="16.5" x14ac:dyDescent="0.3">
      <c r="A234" s="27">
        <v>46009</v>
      </c>
      <c r="B234" s="27">
        <v>46007</v>
      </c>
      <c r="C234" s="21" t="s">
        <v>49</v>
      </c>
      <c r="D234" s="57" t="s">
        <v>485</v>
      </c>
      <c r="E234" s="70" t="s">
        <v>576</v>
      </c>
      <c r="F234" s="58">
        <v>225</v>
      </c>
      <c r="G234" s="57" t="s">
        <v>457</v>
      </c>
      <c r="H234" s="57" t="s">
        <v>457</v>
      </c>
      <c r="I234" s="57" t="s">
        <v>457</v>
      </c>
      <c r="J234" s="57" t="s">
        <v>457</v>
      </c>
      <c r="K234" s="60"/>
      <c r="L234" s="64"/>
      <c r="M234" s="63"/>
      <c r="N234" s="64"/>
      <c r="O234" s="64"/>
      <c r="P234" s="64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59">
        <f t="shared" si="18"/>
        <v>46021</v>
      </c>
      <c r="AD234" s="57"/>
      <c r="AE234" s="74">
        <v>46021</v>
      </c>
      <c r="AF234" s="60"/>
      <c r="AG234" s="60"/>
      <c r="AH234" s="57"/>
      <c r="AI234" s="34"/>
      <c r="AJ234" s="34"/>
    </row>
    <row r="235" spans="1:36" s="2" customFormat="1" ht="16.5" x14ac:dyDescent="0.3">
      <c r="A235" s="27">
        <v>46009</v>
      </c>
      <c r="B235" s="27">
        <v>46007</v>
      </c>
      <c r="C235" s="21" t="s">
        <v>49</v>
      </c>
      <c r="D235" s="57" t="s">
        <v>486</v>
      </c>
      <c r="E235" s="70" t="s">
        <v>577</v>
      </c>
      <c r="F235" s="58" t="s">
        <v>140</v>
      </c>
      <c r="G235" s="57" t="s">
        <v>457</v>
      </c>
      <c r="H235" s="57" t="s">
        <v>457</v>
      </c>
      <c r="I235" s="57" t="s">
        <v>457</v>
      </c>
      <c r="J235" s="57" t="s">
        <v>457</v>
      </c>
      <c r="K235" s="60"/>
      <c r="L235" s="64"/>
      <c r="M235" s="63"/>
      <c r="N235" s="64"/>
      <c r="O235" s="64"/>
      <c r="P235" s="64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59">
        <f t="shared" si="18"/>
        <v>46021</v>
      </c>
      <c r="AD235" s="57"/>
      <c r="AE235" s="74">
        <v>46021</v>
      </c>
      <c r="AF235" s="60"/>
      <c r="AG235" s="60"/>
      <c r="AH235" s="57"/>
      <c r="AI235" s="34"/>
      <c r="AJ235" s="34"/>
    </row>
    <row r="236" spans="1:36" s="2" customFormat="1" ht="16.5" x14ac:dyDescent="0.3">
      <c r="A236" s="27">
        <v>46009</v>
      </c>
      <c r="B236" s="27">
        <v>46007</v>
      </c>
      <c r="C236" s="21" t="s">
        <v>49</v>
      </c>
      <c r="D236" s="57" t="s">
        <v>487</v>
      </c>
      <c r="E236" s="70" t="s">
        <v>578</v>
      </c>
      <c r="F236" s="58" t="s">
        <v>140</v>
      </c>
      <c r="G236" s="57" t="s">
        <v>457</v>
      </c>
      <c r="H236" s="57" t="s">
        <v>457</v>
      </c>
      <c r="I236" s="57" t="s">
        <v>457</v>
      </c>
      <c r="J236" s="57" t="s">
        <v>457</v>
      </c>
      <c r="K236" s="60"/>
      <c r="L236" s="64"/>
      <c r="M236" s="63"/>
      <c r="N236" s="64"/>
      <c r="O236" s="64"/>
      <c r="P236" s="64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59">
        <f t="shared" si="18"/>
        <v>46021</v>
      </c>
      <c r="AD236" s="57"/>
      <c r="AE236" s="74">
        <v>46021</v>
      </c>
      <c r="AF236" s="60"/>
      <c r="AG236" s="60"/>
      <c r="AH236" s="57"/>
      <c r="AI236" s="34"/>
      <c r="AJ236" s="34"/>
    </row>
    <row r="237" spans="1:36" s="2" customFormat="1" ht="16.5" x14ac:dyDescent="0.3">
      <c r="A237" s="27">
        <v>46009</v>
      </c>
      <c r="B237" s="27">
        <v>46007</v>
      </c>
      <c r="C237" s="21" t="s">
        <v>49</v>
      </c>
      <c r="D237" s="57" t="s">
        <v>488</v>
      </c>
      <c r="E237" s="70" t="s">
        <v>579</v>
      </c>
      <c r="F237" s="58" t="s">
        <v>140</v>
      </c>
      <c r="G237" s="57" t="s">
        <v>457</v>
      </c>
      <c r="H237" s="57" t="s">
        <v>457</v>
      </c>
      <c r="I237" s="57" t="s">
        <v>457</v>
      </c>
      <c r="J237" s="57" t="s">
        <v>457</v>
      </c>
      <c r="K237" s="60"/>
      <c r="L237" s="64"/>
      <c r="M237" s="63"/>
      <c r="N237" s="64"/>
      <c r="O237" s="64"/>
      <c r="P237" s="64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59">
        <f t="shared" si="18"/>
        <v>46021</v>
      </c>
      <c r="AD237" s="57"/>
      <c r="AE237" s="74">
        <v>46021</v>
      </c>
      <c r="AF237" s="60"/>
      <c r="AG237" s="60"/>
      <c r="AH237" s="57"/>
      <c r="AI237" s="34"/>
      <c r="AJ237" s="34"/>
    </row>
    <row r="238" spans="1:36" s="2" customFormat="1" ht="16.5" x14ac:dyDescent="0.3">
      <c r="A238" s="27">
        <v>46009</v>
      </c>
      <c r="B238" s="27">
        <v>46007</v>
      </c>
      <c r="C238" s="21" t="s">
        <v>49</v>
      </c>
      <c r="D238" s="57" t="s">
        <v>489</v>
      </c>
      <c r="E238" s="70" t="s">
        <v>580</v>
      </c>
      <c r="F238" s="58" t="s">
        <v>140</v>
      </c>
      <c r="G238" s="57" t="s">
        <v>457</v>
      </c>
      <c r="H238" s="57" t="s">
        <v>457</v>
      </c>
      <c r="I238" s="57" t="s">
        <v>457</v>
      </c>
      <c r="J238" s="57" t="s">
        <v>457</v>
      </c>
      <c r="K238" s="60"/>
      <c r="L238" s="64"/>
      <c r="M238" s="63"/>
      <c r="N238" s="64"/>
      <c r="O238" s="64"/>
      <c r="P238" s="64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59">
        <f t="shared" si="18"/>
        <v>46021</v>
      </c>
      <c r="AD238" s="57"/>
      <c r="AE238" s="74">
        <v>46021</v>
      </c>
      <c r="AF238" s="60"/>
      <c r="AG238" s="60"/>
      <c r="AH238" s="57"/>
      <c r="AI238" s="34"/>
      <c r="AJ238" s="34"/>
    </row>
    <row r="239" spans="1:36" s="2" customFormat="1" ht="16.5" x14ac:dyDescent="0.3">
      <c r="A239" s="27">
        <v>46009</v>
      </c>
      <c r="B239" s="27">
        <v>46007</v>
      </c>
      <c r="C239" s="21" t="s">
        <v>49</v>
      </c>
      <c r="D239" s="57" t="s">
        <v>490</v>
      </c>
      <c r="E239" s="70" t="s">
        <v>581</v>
      </c>
      <c r="F239" s="58" t="s">
        <v>140</v>
      </c>
      <c r="G239" s="57" t="s">
        <v>457</v>
      </c>
      <c r="H239" s="57" t="s">
        <v>457</v>
      </c>
      <c r="I239" s="57" t="s">
        <v>457</v>
      </c>
      <c r="J239" s="57" t="s">
        <v>457</v>
      </c>
      <c r="K239" s="60"/>
      <c r="L239" s="64"/>
      <c r="M239" s="63"/>
      <c r="N239" s="64"/>
      <c r="O239" s="64"/>
      <c r="P239" s="64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59">
        <f t="shared" si="18"/>
        <v>46021</v>
      </c>
      <c r="AD239" s="57"/>
      <c r="AE239" s="74">
        <v>46021</v>
      </c>
      <c r="AF239" s="60"/>
      <c r="AG239" s="60"/>
      <c r="AH239" s="57"/>
      <c r="AI239" s="34"/>
      <c r="AJ239" s="34"/>
    </row>
    <row r="240" spans="1:36" s="2" customFormat="1" ht="16.5" x14ac:dyDescent="0.3">
      <c r="A240" s="27">
        <v>46009</v>
      </c>
      <c r="B240" s="27">
        <v>46007</v>
      </c>
      <c r="C240" s="21" t="s">
        <v>49</v>
      </c>
      <c r="D240" s="57" t="s">
        <v>491</v>
      </c>
      <c r="E240" s="70" t="s">
        <v>582</v>
      </c>
      <c r="F240" s="58" t="s">
        <v>140</v>
      </c>
      <c r="G240" s="57" t="s">
        <v>457</v>
      </c>
      <c r="H240" s="57" t="s">
        <v>457</v>
      </c>
      <c r="I240" s="57" t="s">
        <v>457</v>
      </c>
      <c r="J240" s="57" t="s">
        <v>457</v>
      </c>
      <c r="K240" s="60"/>
      <c r="L240" s="64"/>
      <c r="M240" s="63"/>
      <c r="N240" s="64"/>
      <c r="O240" s="64"/>
      <c r="P240" s="64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59">
        <f t="shared" si="18"/>
        <v>46021</v>
      </c>
      <c r="AD240" s="57"/>
      <c r="AE240" s="74">
        <v>46021</v>
      </c>
      <c r="AF240" s="60"/>
      <c r="AG240" s="60"/>
      <c r="AH240" s="57"/>
      <c r="AI240" s="34"/>
      <c r="AJ240" s="34"/>
    </row>
    <row r="241" spans="1:36" s="2" customFormat="1" ht="16.5" x14ac:dyDescent="0.3">
      <c r="A241" s="27">
        <v>46009</v>
      </c>
      <c r="B241" s="27">
        <v>46007</v>
      </c>
      <c r="C241" s="21" t="s">
        <v>49</v>
      </c>
      <c r="D241" s="57" t="s">
        <v>492</v>
      </c>
      <c r="E241" s="70" t="s">
        <v>583</v>
      </c>
      <c r="F241" s="58" t="s">
        <v>140</v>
      </c>
      <c r="G241" s="57" t="s">
        <v>457</v>
      </c>
      <c r="H241" s="57" t="s">
        <v>457</v>
      </c>
      <c r="I241" s="57" t="s">
        <v>457</v>
      </c>
      <c r="J241" s="57" t="s">
        <v>457</v>
      </c>
      <c r="K241" s="60"/>
      <c r="L241" s="64"/>
      <c r="M241" s="63"/>
      <c r="N241" s="64"/>
      <c r="O241" s="64"/>
      <c r="P241" s="64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59">
        <f t="shared" si="18"/>
        <v>46021</v>
      </c>
      <c r="AD241" s="57"/>
      <c r="AE241" s="74">
        <v>46021</v>
      </c>
      <c r="AF241" s="60"/>
      <c r="AG241" s="60"/>
      <c r="AH241" s="57"/>
      <c r="AI241" s="34"/>
      <c r="AJ241" s="34"/>
    </row>
    <row r="242" spans="1:36" s="2" customFormat="1" ht="16.5" x14ac:dyDescent="0.3">
      <c r="A242" s="27">
        <v>46009</v>
      </c>
      <c r="B242" s="27">
        <v>46007</v>
      </c>
      <c r="C242" s="21" t="s">
        <v>49</v>
      </c>
      <c r="D242" s="57" t="s">
        <v>493</v>
      </c>
      <c r="E242" s="70" t="s">
        <v>584</v>
      </c>
      <c r="F242" s="58" t="s">
        <v>140</v>
      </c>
      <c r="G242" s="57" t="s">
        <v>457</v>
      </c>
      <c r="H242" s="57" t="s">
        <v>457</v>
      </c>
      <c r="I242" s="57" t="s">
        <v>457</v>
      </c>
      <c r="J242" s="57" t="s">
        <v>457</v>
      </c>
      <c r="K242" s="60"/>
      <c r="L242" s="64"/>
      <c r="M242" s="63"/>
      <c r="N242" s="64"/>
      <c r="O242" s="64"/>
      <c r="P242" s="64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59">
        <f t="shared" si="18"/>
        <v>46021</v>
      </c>
      <c r="AD242" s="57"/>
      <c r="AE242" s="74">
        <v>46021</v>
      </c>
      <c r="AF242" s="60"/>
      <c r="AG242" s="60"/>
      <c r="AH242" s="57"/>
      <c r="AI242" s="34"/>
      <c r="AJ242" s="34"/>
    </row>
    <row r="243" spans="1:36" s="2" customFormat="1" ht="16.5" x14ac:dyDescent="0.3">
      <c r="A243" s="27">
        <v>46009</v>
      </c>
      <c r="B243" s="27">
        <v>46007</v>
      </c>
      <c r="C243" s="21" t="s">
        <v>49</v>
      </c>
      <c r="D243" s="57" t="s">
        <v>494</v>
      </c>
      <c r="E243" s="70" t="s">
        <v>585</v>
      </c>
      <c r="F243" s="58" t="s">
        <v>140</v>
      </c>
      <c r="G243" s="57" t="s">
        <v>457</v>
      </c>
      <c r="H243" s="57" t="s">
        <v>457</v>
      </c>
      <c r="I243" s="57" t="s">
        <v>457</v>
      </c>
      <c r="J243" s="57" t="s">
        <v>457</v>
      </c>
      <c r="K243" s="60"/>
      <c r="L243" s="64"/>
      <c r="M243" s="63"/>
      <c r="N243" s="64"/>
      <c r="O243" s="64"/>
      <c r="P243" s="64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59">
        <f t="shared" si="18"/>
        <v>46021</v>
      </c>
      <c r="AD243" s="57"/>
      <c r="AE243" s="74">
        <v>46021</v>
      </c>
      <c r="AF243" s="60"/>
      <c r="AG243" s="60"/>
      <c r="AH243" s="57"/>
      <c r="AI243" s="34"/>
      <c r="AJ243" s="34"/>
    </row>
    <row r="244" spans="1:36" s="2" customFormat="1" ht="16.5" x14ac:dyDescent="0.3">
      <c r="A244" s="27">
        <v>46009</v>
      </c>
      <c r="B244" s="27">
        <v>46007</v>
      </c>
      <c r="C244" s="21" t="s">
        <v>49</v>
      </c>
      <c r="D244" s="57" t="s">
        <v>495</v>
      </c>
      <c r="E244" s="70" t="s">
        <v>586</v>
      </c>
      <c r="F244" s="58" t="s">
        <v>140</v>
      </c>
      <c r="G244" s="57" t="s">
        <v>457</v>
      </c>
      <c r="H244" s="57" t="s">
        <v>457</v>
      </c>
      <c r="I244" s="57" t="s">
        <v>457</v>
      </c>
      <c r="J244" s="57" t="s">
        <v>457</v>
      </c>
      <c r="K244" s="60"/>
      <c r="L244" s="64"/>
      <c r="M244" s="63"/>
      <c r="N244" s="64"/>
      <c r="O244" s="64"/>
      <c r="P244" s="64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59">
        <f t="shared" si="18"/>
        <v>46021</v>
      </c>
      <c r="AD244" s="57"/>
      <c r="AE244" s="74">
        <v>46021</v>
      </c>
      <c r="AF244" s="60"/>
      <c r="AG244" s="60"/>
      <c r="AH244" s="57"/>
      <c r="AI244" s="34"/>
      <c r="AJ244" s="34"/>
    </row>
    <row r="245" spans="1:36" s="2" customFormat="1" ht="16.5" x14ac:dyDescent="0.3">
      <c r="A245" s="27">
        <v>46009</v>
      </c>
      <c r="B245" s="27">
        <v>46007</v>
      </c>
      <c r="C245" s="21" t="s">
        <v>49</v>
      </c>
      <c r="D245" s="57" t="s">
        <v>496</v>
      </c>
      <c r="E245" s="70" t="s">
        <v>587</v>
      </c>
      <c r="F245" s="58" t="s">
        <v>140</v>
      </c>
      <c r="G245" s="57" t="s">
        <v>457</v>
      </c>
      <c r="H245" s="57" t="s">
        <v>457</v>
      </c>
      <c r="I245" s="57" t="s">
        <v>457</v>
      </c>
      <c r="J245" s="57" t="s">
        <v>457</v>
      </c>
      <c r="K245" s="60"/>
      <c r="L245" s="64"/>
      <c r="M245" s="63"/>
      <c r="N245" s="64"/>
      <c r="O245" s="64"/>
      <c r="P245" s="64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59">
        <f t="shared" si="18"/>
        <v>46021</v>
      </c>
      <c r="AD245" s="57"/>
      <c r="AE245" s="74">
        <v>46021</v>
      </c>
      <c r="AF245" s="60"/>
      <c r="AG245" s="60"/>
      <c r="AH245" s="57"/>
      <c r="AI245" s="34"/>
      <c r="AJ245" s="34"/>
    </row>
    <row r="246" spans="1:36" s="2" customFormat="1" ht="16.5" x14ac:dyDescent="0.3">
      <c r="A246" s="27">
        <v>46009</v>
      </c>
      <c r="B246" s="27">
        <v>46007</v>
      </c>
      <c r="C246" s="21" t="s">
        <v>49</v>
      </c>
      <c r="D246" s="57" t="s">
        <v>497</v>
      </c>
      <c r="E246" s="70" t="s">
        <v>588</v>
      </c>
      <c r="F246" s="58" t="s">
        <v>140</v>
      </c>
      <c r="G246" s="57" t="s">
        <v>457</v>
      </c>
      <c r="H246" s="57" t="s">
        <v>457</v>
      </c>
      <c r="I246" s="57" t="s">
        <v>457</v>
      </c>
      <c r="J246" s="57" t="s">
        <v>457</v>
      </c>
      <c r="K246" s="60"/>
      <c r="L246" s="64"/>
      <c r="M246" s="63"/>
      <c r="N246" s="64"/>
      <c r="O246" s="64"/>
      <c r="P246" s="64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59">
        <f t="shared" si="18"/>
        <v>46021</v>
      </c>
      <c r="AD246" s="57"/>
      <c r="AE246" s="74">
        <v>46021</v>
      </c>
      <c r="AF246" s="60"/>
      <c r="AG246" s="60"/>
      <c r="AH246" s="57"/>
      <c r="AI246" s="34"/>
      <c r="AJ246" s="34"/>
    </row>
    <row r="247" spans="1:36" s="2" customFormat="1" ht="16.5" x14ac:dyDescent="0.3">
      <c r="A247" s="27">
        <v>46009</v>
      </c>
      <c r="B247" s="27">
        <v>46007</v>
      </c>
      <c r="C247" s="21" t="s">
        <v>49</v>
      </c>
      <c r="D247" s="57" t="s">
        <v>498</v>
      </c>
      <c r="E247" s="70" t="s">
        <v>589</v>
      </c>
      <c r="F247" s="58" t="s">
        <v>140</v>
      </c>
      <c r="G247" s="57" t="s">
        <v>457</v>
      </c>
      <c r="H247" s="57" t="s">
        <v>457</v>
      </c>
      <c r="I247" s="57" t="s">
        <v>457</v>
      </c>
      <c r="J247" s="57" t="s">
        <v>457</v>
      </c>
      <c r="K247" s="60"/>
      <c r="L247" s="64"/>
      <c r="M247" s="63"/>
      <c r="N247" s="64"/>
      <c r="O247" s="64"/>
      <c r="P247" s="64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59">
        <f t="shared" si="18"/>
        <v>46021</v>
      </c>
      <c r="AD247" s="57"/>
      <c r="AE247" s="74">
        <v>46021</v>
      </c>
      <c r="AF247" s="60"/>
      <c r="AG247" s="60"/>
      <c r="AH247" s="57"/>
      <c r="AI247" s="34"/>
      <c r="AJ247" s="34"/>
    </row>
    <row r="248" spans="1:36" s="2" customFormat="1" ht="16.5" x14ac:dyDescent="0.3">
      <c r="A248" s="27">
        <v>46009</v>
      </c>
      <c r="B248" s="27">
        <v>46007</v>
      </c>
      <c r="C248" s="21" t="s">
        <v>49</v>
      </c>
      <c r="D248" s="57" t="s">
        <v>499</v>
      </c>
      <c r="E248" s="70" t="s">
        <v>590</v>
      </c>
      <c r="F248" s="58" t="s">
        <v>140</v>
      </c>
      <c r="G248" s="57" t="s">
        <v>457</v>
      </c>
      <c r="H248" s="57" t="s">
        <v>457</v>
      </c>
      <c r="I248" s="57" t="s">
        <v>457</v>
      </c>
      <c r="J248" s="57" t="s">
        <v>457</v>
      </c>
      <c r="K248" s="60"/>
      <c r="L248" s="64"/>
      <c r="M248" s="63"/>
      <c r="N248" s="64"/>
      <c r="O248" s="64"/>
      <c r="P248" s="64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59">
        <f t="shared" si="18"/>
        <v>46021</v>
      </c>
      <c r="AD248" s="57"/>
      <c r="AE248" s="74">
        <v>46021</v>
      </c>
      <c r="AF248" s="60"/>
      <c r="AG248" s="60"/>
      <c r="AH248" s="57"/>
      <c r="AI248" s="34"/>
      <c r="AJ248" s="34"/>
    </row>
    <row r="249" spans="1:36" s="2" customFormat="1" ht="16.5" x14ac:dyDescent="0.3">
      <c r="A249" s="27">
        <v>46009</v>
      </c>
      <c r="B249" s="27">
        <v>46007</v>
      </c>
      <c r="C249" s="21" t="s">
        <v>49</v>
      </c>
      <c r="D249" s="57" t="s">
        <v>591</v>
      </c>
      <c r="E249" s="70" t="s">
        <v>592</v>
      </c>
      <c r="F249" s="58" t="s">
        <v>140</v>
      </c>
      <c r="G249" s="57" t="s">
        <v>457</v>
      </c>
      <c r="H249" s="57" t="s">
        <v>457</v>
      </c>
      <c r="I249" s="57" t="s">
        <v>457</v>
      </c>
      <c r="J249" s="57" t="s">
        <v>457</v>
      </c>
      <c r="K249" s="60"/>
      <c r="L249" s="64"/>
      <c r="M249" s="63"/>
      <c r="N249" s="64"/>
      <c r="O249" s="64"/>
      <c r="P249" s="64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59">
        <f t="shared" ref="AC249" si="20">B249+14</f>
        <v>46021</v>
      </c>
      <c r="AD249" s="57"/>
      <c r="AE249" s="74">
        <v>46021</v>
      </c>
      <c r="AF249" s="60"/>
      <c r="AG249" s="60"/>
      <c r="AH249" s="57"/>
      <c r="AI249" s="34"/>
      <c r="AJ249" s="34"/>
    </row>
    <row r="250" spans="1:36" s="2" customFormat="1" ht="16.5" x14ac:dyDescent="0.3">
      <c r="A250" s="27">
        <v>46009</v>
      </c>
      <c r="B250" s="27">
        <v>46007</v>
      </c>
      <c r="C250" s="21" t="s">
        <v>49</v>
      </c>
      <c r="D250" s="83" t="s">
        <v>500</v>
      </c>
      <c r="E250" s="85" t="s">
        <v>593</v>
      </c>
      <c r="F250" s="58" t="s">
        <v>140</v>
      </c>
      <c r="G250" s="57" t="s">
        <v>457</v>
      </c>
      <c r="H250" s="57" t="s">
        <v>457</v>
      </c>
      <c r="I250" s="57" t="s">
        <v>457</v>
      </c>
      <c r="J250" s="57" t="s">
        <v>457</v>
      </c>
      <c r="K250" s="60"/>
      <c r="L250" s="64"/>
      <c r="M250" s="63"/>
      <c r="N250" s="64"/>
      <c r="O250" s="64"/>
      <c r="P250" s="64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59">
        <f t="shared" si="18"/>
        <v>46021</v>
      </c>
      <c r="AD250" s="57"/>
      <c r="AE250" s="74">
        <v>46021</v>
      </c>
      <c r="AF250" s="60"/>
      <c r="AG250" s="60"/>
      <c r="AH250" s="83" t="s">
        <v>598</v>
      </c>
      <c r="AI250" s="90" t="s">
        <v>1040</v>
      </c>
      <c r="AJ250" s="34"/>
    </row>
    <row r="251" spans="1:36" s="2" customFormat="1" ht="16.5" x14ac:dyDescent="0.3">
      <c r="A251" s="27">
        <v>46009</v>
      </c>
      <c r="B251" s="27">
        <v>46007</v>
      </c>
      <c r="C251" s="21" t="s">
        <v>49</v>
      </c>
      <c r="D251" s="68" t="s">
        <v>501</v>
      </c>
      <c r="E251" s="86" t="s">
        <v>594</v>
      </c>
      <c r="F251" s="58" t="s">
        <v>140</v>
      </c>
      <c r="G251" s="57" t="s">
        <v>457</v>
      </c>
      <c r="H251" s="57" t="s">
        <v>457</v>
      </c>
      <c r="I251" s="57" t="s">
        <v>457</v>
      </c>
      <c r="J251" s="57" t="s">
        <v>457</v>
      </c>
      <c r="K251" s="60"/>
      <c r="L251" s="64"/>
      <c r="M251" s="63"/>
      <c r="N251" s="64"/>
      <c r="O251" s="64"/>
      <c r="P251" s="64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59">
        <f t="shared" si="18"/>
        <v>46021</v>
      </c>
      <c r="AD251" s="57"/>
      <c r="AE251" s="74">
        <v>46021</v>
      </c>
      <c r="AF251" s="60"/>
      <c r="AG251" s="60"/>
      <c r="AH251" s="68" t="s">
        <v>598</v>
      </c>
      <c r="AI251" s="34"/>
      <c r="AJ251" s="34"/>
    </row>
    <row r="252" spans="1:36" s="2" customFormat="1" ht="16.5" x14ac:dyDescent="0.3">
      <c r="A252" s="27">
        <v>46009</v>
      </c>
      <c r="B252" s="27">
        <v>46007</v>
      </c>
      <c r="C252" s="21" t="s">
        <v>49</v>
      </c>
      <c r="D252" s="83" t="s">
        <v>502</v>
      </c>
      <c r="E252" s="85" t="s">
        <v>595</v>
      </c>
      <c r="F252" s="58" t="s">
        <v>140</v>
      </c>
      <c r="G252" s="57" t="s">
        <v>457</v>
      </c>
      <c r="H252" s="57" t="s">
        <v>457</v>
      </c>
      <c r="I252" s="57" t="s">
        <v>457</v>
      </c>
      <c r="J252" s="57" t="s">
        <v>457</v>
      </c>
      <c r="K252" s="60"/>
      <c r="L252" s="64"/>
      <c r="M252" s="63"/>
      <c r="N252" s="64"/>
      <c r="O252" s="64"/>
      <c r="P252" s="64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59">
        <f t="shared" si="18"/>
        <v>46021</v>
      </c>
      <c r="AD252" s="57"/>
      <c r="AE252" s="74">
        <v>46021</v>
      </c>
      <c r="AF252" s="60"/>
      <c r="AG252" s="60"/>
      <c r="AH252" s="83" t="s">
        <v>598</v>
      </c>
      <c r="AI252" s="90" t="s">
        <v>1040</v>
      </c>
      <c r="AJ252" s="34"/>
    </row>
    <row r="253" spans="1:36" s="2" customFormat="1" ht="16.5" x14ac:dyDescent="0.3">
      <c r="A253" s="27">
        <v>46009</v>
      </c>
      <c r="B253" s="27">
        <v>46007</v>
      </c>
      <c r="C253" s="21" t="s">
        <v>49</v>
      </c>
      <c r="D253" s="68" t="s">
        <v>503</v>
      </c>
      <c r="E253" s="86" t="s">
        <v>1250</v>
      </c>
      <c r="F253" s="58" t="s">
        <v>140</v>
      </c>
      <c r="G253" s="57" t="s">
        <v>457</v>
      </c>
      <c r="H253" s="57" t="s">
        <v>457</v>
      </c>
      <c r="I253" s="57" t="s">
        <v>457</v>
      </c>
      <c r="J253" s="57" t="s">
        <v>457</v>
      </c>
      <c r="K253" s="60"/>
      <c r="L253" s="64"/>
      <c r="M253" s="63"/>
      <c r="N253" s="64"/>
      <c r="O253" s="64"/>
      <c r="P253" s="64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59">
        <f t="shared" si="18"/>
        <v>46021</v>
      </c>
      <c r="AD253" s="57"/>
      <c r="AE253" s="74">
        <v>46021</v>
      </c>
      <c r="AF253" s="60"/>
      <c r="AG253" s="60"/>
      <c r="AH253" s="68" t="s">
        <v>598</v>
      </c>
      <c r="AI253" s="34"/>
      <c r="AJ253" s="34"/>
    </row>
    <row r="254" spans="1:36" s="2" customFormat="1" ht="16.5" x14ac:dyDescent="0.3">
      <c r="A254" s="27">
        <v>46009</v>
      </c>
      <c r="B254" s="27">
        <v>46007</v>
      </c>
      <c r="C254" s="21" t="s">
        <v>49</v>
      </c>
      <c r="D254" s="68" t="s">
        <v>504</v>
      </c>
      <c r="E254" s="86" t="s">
        <v>596</v>
      </c>
      <c r="F254" s="58" t="s">
        <v>140</v>
      </c>
      <c r="G254" s="57" t="s">
        <v>457</v>
      </c>
      <c r="H254" s="57" t="s">
        <v>457</v>
      </c>
      <c r="I254" s="57" t="s">
        <v>457</v>
      </c>
      <c r="J254" s="57" t="s">
        <v>457</v>
      </c>
      <c r="K254" s="60"/>
      <c r="L254" s="64"/>
      <c r="M254" s="63"/>
      <c r="N254" s="64"/>
      <c r="O254" s="64"/>
      <c r="P254" s="64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59">
        <f t="shared" si="18"/>
        <v>46021</v>
      </c>
      <c r="AD254" s="57"/>
      <c r="AE254" s="74">
        <v>46021</v>
      </c>
      <c r="AF254" s="60"/>
      <c r="AG254" s="60"/>
      <c r="AH254" s="68" t="s">
        <v>598</v>
      </c>
      <c r="AI254" s="34"/>
      <c r="AJ254" s="34"/>
    </row>
    <row r="255" spans="1:36" s="2" customFormat="1" ht="16.5" x14ac:dyDescent="0.3">
      <c r="A255" s="27">
        <v>46009</v>
      </c>
      <c r="B255" s="27">
        <v>46007</v>
      </c>
      <c r="C255" s="21" t="s">
        <v>49</v>
      </c>
      <c r="D255" s="68" t="s">
        <v>505</v>
      </c>
      <c r="E255" s="86" t="s">
        <v>597</v>
      </c>
      <c r="F255" s="58" t="s">
        <v>140</v>
      </c>
      <c r="G255" s="57" t="s">
        <v>457</v>
      </c>
      <c r="H255" s="57" t="s">
        <v>457</v>
      </c>
      <c r="I255" s="57" t="s">
        <v>457</v>
      </c>
      <c r="J255" s="57" t="s">
        <v>457</v>
      </c>
      <c r="K255" s="60"/>
      <c r="L255" s="64"/>
      <c r="M255" s="63"/>
      <c r="N255" s="64"/>
      <c r="O255" s="64"/>
      <c r="P255" s="64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59">
        <f t="shared" si="18"/>
        <v>46021</v>
      </c>
      <c r="AD255" s="57"/>
      <c r="AE255" s="74">
        <v>46021</v>
      </c>
      <c r="AF255" s="60"/>
      <c r="AG255" s="60"/>
      <c r="AH255" s="68" t="s">
        <v>598</v>
      </c>
      <c r="AI255" s="34"/>
      <c r="AJ255" s="34"/>
    </row>
    <row r="256" spans="1:36" s="2" customFormat="1" ht="16.5" x14ac:dyDescent="0.3">
      <c r="A256" s="27">
        <v>46009</v>
      </c>
      <c r="B256" s="27">
        <v>46007</v>
      </c>
      <c r="C256" s="21" t="s">
        <v>49</v>
      </c>
      <c r="D256" s="57" t="s">
        <v>506</v>
      </c>
      <c r="E256" s="70" t="s">
        <v>599</v>
      </c>
      <c r="F256" s="58">
        <v>188</v>
      </c>
      <c r="G256" s="57" t="s">
        <v>457</v>
      </c>
      <c r="H256" s="57" t="s">
        <v>457</v>
      </c>
      <c r="I256" s="57" t="s">
        <v>457</v>
      </c>
      <c r="J256" s="57" t="s">
        <v>457</v>
      </c>
      <c r="K256" s="60"/>
      <c r="L256" s="64"/>
      <c r="M256" s="63"/>
      <c r="N256" s="64"/>
      <c r="O256" s="64"/>
      <c r="P256" s="64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59">
        <f t="shared" si="18"/>
        <v>46021</v>
      </c>
      <c r="AD256" s="57"/>
      <c r="AE256" s="74">
        <v>46021</v>
      </c>
      <c r="AF256" s="60"/>
      <c r="AG256" s="60"/>
      <c r="AH256" s="57"/>
      <c r="AI256" s="34"/>
      <c r="AJ256" s="34"/>
    </row>
    <row r="257" spans="1:36" s="2" customFormat="1" ht="16.5" x14ac:dyDescent="0.3">
      <c r="A257" s="27">
        <v>46009</v>
      </c>
      <c r="B257" s="27">
        <v>46007</v>
      </c>
      <c r="C257" s="21" t="s">
        <v>49</v>
      </c>
      <c r="D257" s="57" t="s">
        <v>507</v>
      </c>
      <c r="E257" s="70" t="s">
        <v>600</v>
      </c>
      <c r="F257" s="58" t="s">
        <v>140</v>
      </c>
      <c r="G257" s="57" t="s">
        <v>457</v>
      </c>
      <c r="H257" s="57" t="s">
        <v>457</v>
      </c>
      <c r="I257" s="57" t="s">
        <v>457</v>
      </c>
      <c r="J257" s="57" t="s">
        <v>457</v>
      </c>
      <c r="K257" s="60"/>
      <c r="L257" s="64"/>
      <c r="M257" s="63"/>
      <c r="N257" s="64"/>
      <c r="O257" s="64"/>
      <c r="P257" s="64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59">
        <f t="shared" si="18"/>
        <v>46021</v>
      </c>
      <c r="AD257" s="57"/>
      <c r="AE257" s="74">
        <v>46021</v>
      </c>
      <c r="AF257" s="60"/>
      <c r="AG257" s="60"/>
      <c r="AH257" s="57"/>
      <c r="AI257" s="34"/>
      <c r="AJ257" s="34"/>
    </row>
    <row r="258" spans="1:36" s="2" customFormat="1" ht="16.5" x14ac:dyDescent="0.3">
      <c r="A258" s="27">
        <v>46009</v>
      </c>
      <c r="B258" s="27">
        <v>46007</v>
      </c>
      <c r="C258" s="21" t="s">
        <v>49</v>
      </c>
      <c r="D258" s="57" t="s">
        <v>508</v>
      </c>
      <c r="E258" s="70" t="s">
        <v>601</v>
      </c>
      <c r="F258" s="58" t="s">
        <v>140</v>
      </c>
      <c r="G258" s="57" t="s">
        <v>457</v>
      </c>
      <c r="H258" s="57" t="s">
        <v>457</v>
      </c>
      <c r="I258" s="57" t="s">
        <v>457</v>
      </c>
      <c r="J258" s="57" t="s">
        <v>457</v>
      </c>
      <c r="K258" s="60"/>
      <c r="L258" s="64"/>
      <c r="M258" s="63"/>
      <c r="N258" s="64"/>
      <c r="O258" s="64"/>
      <c r="P258" s="64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59">
        <f t="shared" si="18"/>
        <v>46021</v>
      </c>
      <c r="AD258" s="57"/>
      <c r="AE258" s="74">
        <v>46021</v>
      </c>
      <c r="AF258" s="60"/>
      <c r="AG258" s="60"/>
      <c r="AH258" s="57"/>
      <c r="AI258" s="34"/>
      <c r="AJ258" s="34"/>
    </row>
    <row r="259" spans="1:36" s="2" customFormat="1" ht="16.5" x14ac:dyDescent="0.3">
      <c r="A259" s="27">
        <v>46009</v>
      </c>
      <c r="B259" s="27">
        <v>46007</v>
      </c>
      <c r="C259" s="21" t="s">
        <v>49</v>
      </c>
      <c r="D259" s="57" t="s">
        <v>509</v>
      </c>
      <c r="E259" s="70" t="s">
        <v>602</v>
      </c>
      <c r="F259" s="58">
        <v>89</v>
      </c>
      <c r="G259" s="57" t="s">
        <v>457</v>
      </c>
      <c r="H259" s="57" t="s">
        <v>457</v>
      </c>
      <c r="I259" s="57" t="s">
        <v>457</v>
      </c>
      <c r="J259" s="57" t="s">
        <v>457</v>
      </c>
      <c r="K259" s="60"/>
      <c r="L259" s="64"/>
      <c r="M259" s="63"/>
      <c r="N259" s="64"/>
      <c r="O259" s="64"/>
      <c r="P259" s="64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59">
        <f t="shared" si="18"/>
        <v>46021</v>
      </c>
      <c r="AD259" s="57"/>
      <c r="AE259" s="74">
        <v>46021</v>
      </c>
      <c r="AF259" s="60"/>
      <c r="AG259" s="60"/>
      <c r="AH259" s="57"/>
      <c r="AI259" s="34"/>
      <c r="AJ259" s="34"/>
    </row>
    <row r="260" spans="1:36" s="2" customFormat="1" ht="16.5" x14ac:dyDescent="0.3">
      <c r="A260" s="27">
        <v>46009</v>
      </c>
      <c r="B260" s="27">
        <v>46007</v>
      </c>
      <c r="C260" s="21" t="s">
        <v>49</v>
      </c>
      <c r="D260" s="57" t="s">
        <v>510</v>
      </c>
      <c r="E260" s="70" t="s">
        <v>603</v>
      </c>
      <c r="F260" s="58" t="s">
        <v>140</v>
      </c>
      <c r="G260" s="57" t="s">
        <v>457</v>
      </c>
      <c r="H260" s="57" t="s">
        <v>457</v>
      </c>
      <c r="I260" s="57" t="s">
        <v>457</v>
      </c>
      <c r="J260" s="57" t="s">
        <v>457</v>
      </c>
      <c r="K260" s="60"/>
      <c r="L260" s="64"/>
      <c r="M260" s="63"/>
      <c r="N260" s="64"/>
      <c r="O260" s="64"/>
      <c r="P260" s="64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59">
        <f t="shared" si="18"/>
        <v>46021</v>
      </c>
      <c r="AD260" s="57"/>
      <c r="AE260" s="74">
        <v>46021</v>
      </c>
      <c r="AF260" s="60"/>
      <c r="AG260" s="60"/>
      <c r="AH260" s="57"/>
      <c r="AI260" s="34"/>
      <c r="AJ260" s="34"/>
    </row>
    <row r="261" spans="1:36" s="2" customFormat="1" ht="16.5" x14ac:dyDescent="0.3">
      <c r="A261" s="27">
        <v>46009</v>
      </c>
      <c r="B261" s="27">
        <v>46007</v>
      </c>
      <c r="C261" s="21" t="s">
        <v>49</v>
      </c>
      <c r="D261" s="57" t="s">
        <v>511</v>
      </c>
      <c r="E261" s="70" t="s">
        <v>604</v>
      </c>
      <c r="F261" s="58" t="s">
        <v>140</v>
      </c>
      <c r="G261" s="57" t="s">
        <v>457</v>
      </c>
      <c r="H261" s="57" t="s">
        <v>457</v>
      </c>
      <c r="I261" s="57" t="s">
        <v>457</v>
      </c>
      <c r="J261" s="57" t="s">
        <v>457</v>
      </c>
      <c r="K261" s="60"/>
      <c r="L261" s="64"/>
      <c r="M261" s="63"/>
      <c r="N261" s="64"/>
      <c r="O261" s="64"/>
      <c r="P261" s="64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59">
        <f t="shared" si="18"/>
        <v>46021</v>
      </c>
      <c r="AD261" s="57"/>
      <c r="AE261" s="74">
        <v>46021</v>
      </c>
      <c r="AF261" s="60"/>
      <c r="AG261" s="60"/>
      <c r="AH261" s="57"/>
      <c r="AI261" s="34"/>
      <c r="AJ261" s="34"/>
    </row>
    <row r="262" spans="1:36" s="2" customFormat="1" ht="16.5" x14ac:dyDescent="0.3">
      <c r="A262" s="27">
        <v>46009</v>
      </c>
      <c r="B262" s="27">
        <v>46007</v>
      </c>
      <c r="C262" s="21" t="s">
        <v>49</v>
      </c>
      <c r="D262" s="57" t="s">
        <v>512</v>
      </c>
      <c r="E262" s="70" t="s">
        <v>605</v>
      </c>
      <c r="F262" s="58" t="s">
        <v>140</v>
      </c>
      <c r="G262" s="57" t="s">
        <v>457</v>
      </c>
      <c r="H262" s="57" t="s">
        <v>457</v>
      </c>
      <c r="I262" s="57" t="s">
        <v>457</v>
      </c>
      <c r="J262" s="57" t="s">
        <v>457</v>
      </c>
      <c r="K262" s="60"/>
      <c r="L262" s="64"/>
      <c r="M262" s="63"/>
      <c r="N262" s="64"/>
      <c r="O262" s="64"/>
      <c r="P262" s="64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59">
        <f t="shared" si="18"/>
        <v>46021</v>
      </c>
      <c r="AD262" s="57"/>
      <c r="AE262" s="74">
        <v>46021</v>
      </c>
      <c r="AF262" s="60"/>
      <c r="AG262" s="60"/>
      <c r="AH262" s="57"/>
      <c r="AI262" s="34"/>
      <c r="AJ262" s="34"/>
    </row>
    <row r="263" spans="1:36" s="2" customFormat="1" ht="16.5" x14ac:dyDescent="0.3">
      <c r="A263" s="27">
        <v>46009</v>
      </c>
      <c r="B263" s="27">
        <v>46007</v>
      </c>
      <c r="C263" s="21" t="s">
        <v>49</v>
      </c>
      <c r="D263" s="57" t="s">
        <v>513</v>
      </c>
      <c r="E263" s="70" t="s">
        <v>606</v>
      </c>
      <c r="F263" s="58" t="s">
        <v>140</v>
      </c>
      <c r="G263" s="57" t="s">
        <v>457</v>
      </c>
      <c r="H263" s="57" t="s">
        <v>457</v>
      </c>
      <c r="I263" s="57" t="s">
        <v>457</v>
      </c>
      <c r="J263" s="57" t="s">
        <v>457</v>
      </c>
      <c r="K263" s="60"/>
      <c r="L263" s="64"/>
      <c r="M263" s="63"/>
      <c r="N263" s="64"/>
      <c r="O263" s="64"/>
      <c r="P263" s="64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59">
        <f t="shared" si="18"/>
        <v>46021</v>
      </c>
      <c r="AD263" s="57"/>
      <c r="AE263" s="74">
        <v>46021</v>
      </c>
      <c r="AF263" s="60"/>
      <c r="AG263" s="60"/>
      <c r="AH263" s="57"/>
      <c r="AI263" s="34"/>
      <c r="AJ263" s="34"/>
    </row>
    <row r="264" spans="1:36" s="2" customFormat="1" ht="16.5" x14ac:dyDescent="0.3">
      <c r="A264" s="27">
        <v>46009</v>
      </c>
      <c r="B264" s="27">
        <v>46007</v>
      </c>
      <c r="C264" s="21" t="s">
        <v>49</v>
      </c>
      <c r="D264" s="57" t="s">
        <v>514</v>
      </c>
      <c r="E264" s="70" t="s">
        <v>607</v>
      </c>
      <c r="F264" s="58" t="s">
        <v>140</v>
      </c>
      <c r="G264" s="57" t="s">
        <v>457</v>
      </c>
      <c r="H264" s="57" t="s">
        <v>457</v>
      </c>
      <c r="I264" s="57" t="s">
        <v>457</v>
      </c>
      <c r="J264" s="57" t="s">
        <v>457</v>
      </c>
      <c r="K264" s="60"/>
      <c r="L264" s="64"/>
      <c r="M264" s="63"/>
      <c r="N264" s="64"/>
      <c r="O264" s="64"/>
      <c r="P264" s="64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59">
        <f t="shared" si="18"/>
        <v>46021</v>
      </c>
      <c r="AD264" s="57"/>
      <c r="AE264" s="74">
        <v>46021</v>
      </c>
      <c r="AF264" s="60"/>
      <c r="AG264" s="60"/>
      <c r="AH264" s="57"/>
      <c r="AI264" s="34"/>
      <c r="AJ264" s="34"/>
    </row>
    <row r="265" spans="1:36" s="2" customFormat="1" ht="16.5" x14ac:dyDescent="0.3">
      <c r="A265" s="27">
        <v>46009</v>
      </c>
      <c r="B265" s="27">
        <v>46007</v>
      </c>
      <c r="C265" s="21" t="s">
        <v>49</v>
      </c>
      <c r="D265" s="57" t="s">
        <v>515</v>
      </c>
      <c r="E265" s="70" t="s">
        <v>608</v>
      </c>
      <c r="F265" s="58" t="s">
        <v>140</v>
      </c>
      <c r="G265" s="57" t="s">
        <v>457</v>
      </c>
      <c r="H265" s="57" t="s">
        <v>457</v>
      </c>
      <c r="I265" s="57" t="s">
        <v>457</v>
      </c>
      <c r="J265" s="57" t="s">
        <v>457</v>
      </c>
      <c r="K265" s="60"/>
      <c r="L265" s="64"/>
      <c r="M265" s="63"/>
      <c r="N265" s="64"/>
      <c r="O265" s="64"/>
      <c r="P265" s="64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59">
        <f t="shared" si="18"/>
        <v>46021</v>
      </c>
      <c r="AD265" s="57"/>
      <c r="AE265" s="74">
        <v>46021</v>
      </c>
      <c r="AF265" s="60"/>
      <c r="AG265" s="60"/>
      <c r="AH265" s="57"/>
      <c r="AI265" s="34"/>
      <c r="AJ265" s="34"/>
    </row>
    <row r="266" spans="1:36" s="2" customFormat="1" ht="16.5" x14ac:dyDescent="0.3">
      <c r="A266" s="27">
        <v>46009</v>
      </c>
      <c r="B266" s="27">
        <v>46007</v>
      </c>
      <c r="C266" s="21" t="s">
        <v>49</v>
      </c>
      <c r="D266" s="57" t="s">
        <v>516</v>
      </c>
      <c r="E266" s="70" t="s">
        <v>609</v>
      </c>
      <c r="F266" s="58" t="s">
        <v>140</v>
      </c>
      <c r="G266" s="57" t="s">
        <v>457</v>
      </c>
      <c r="H266" s="57" t="s">
        <v>457</v>
      </c>
      <c r="I266" s="57" t="s">
        <v>457</v>
      </c>
      <c r="J266" s="57" t="s">
        <v>457</v>
      </c>
      <c r="K266" s="60"/>
      <c r="L266" s="64"/>
      <c r="M266" s="63"/>
      <c r="N266" s="64"/>
      <c r="O266" s="64"/>
      <c r="P266" s="64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59">
        <f t="shared" si="18"/>
        <v>46021</v>
      </c>
      <c r="AD266" s="57"/>
      <c r="AE266" s="74">
        <v>46021</v>
      </c>
      <c r="AF266" s="60"/>
      <c r="AG266" s="60"/>
      <c r="AH266" s="57"/>
      <c r="AI266" s="34"/>
      <c r="AJ266" s="34"/>
    </row>
    <row r="267" spans="1:36" s="2" customFormat="1" ht="16.5" x14ac:dyDescent="0.3">
      <c r="A267" s="27">
        <v>46009</v>
      </c>
      <c r="B267" s="27">
        <v>46007</v>
      </c>
      <c r="C267" s="21" t="s">
        <v>49</v>
      </c>
      <c r="D267" s="57" t="s">
        <v>517</v>
      </c>
      <c r="E267" s="70" t="s">
        <v>610</v>
      </c>
      <c r="F267" s="58" t="s">
        <v>140</v>
      </c>
      <c r="G267" s="57" t="s">
        <v>457</v>
      </c>
      <c r="H267" s="57" t="s">
        <v>457</v>
      </c>
      <c r="I267" s="57" t="s">
        <v>457</v>
      </c>
      <c r="J267" s="57" t="s">
        <v>457</v>
      </c>
      <c r="K267" s="60"/>
      <c r="L267" s="64"/>
      <c r="M267" s="63"/>
      <c r="N267" s="64"/>
      <c r="O267" s="64"/>
      <c r="P267" s="64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59">
        <f t="shared" si="18"/>
        <v>46021</v>
      </c>
      <c r="AD267" s="57"/>
      <c r="AE267" s="74">
        <v>46021</v>
      </c>
      <c r="AF267" s="60"/>
      <c r="AG267" s="60"/>
      <c r="AH267" s="57"/>
      <c r="AI267" s="34"/>
      <c r="AJ267" s="34"/>
    </row>
    <row r="268" spans="1:36" s="2" customFormat="1" ht="16.5" x14ac:dyDescent="0.3">
      <c r="A268" s="27">
        <v>46009</v>
      </c>
      <c r="B268" s="27">
        <v>46007</v>
      </c>
      <c r="C268" s="21" t="s">
        <v>49</v>
      </c>
      <c r="D268" s="57" t="s">
        <v>518</v>
      </c>
      <c r="E268" s="70" t="s">
        <v>611</v>
      </c>
      <c r="F268" s="58" t="s">
        <v>140</v>
      </c>
      <c r="G268" s="57" t="s">
        <v>457</v>
      </c>
      <c r="H268" s="57" t="s">
        <v>457</v>
      </c>
      <c r="I268" s="57" t="s">
        <v>457</v>
      </c>
      <c r="J268" s="57" t="s">
        <v>457</v>
      </c>
      <c r="K268" s="60"/>
      <c r="L268" s="64"/>
      <c r="M268" s="63"/>
      <c r="N268" s="64"/>
      <c r="O268" s="64"/>
      <c r="P268" s="64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59">
        <f t="shared" si="18"/>
        <v>46021</v>
      </c>
      <c r="AD268" s="57"/>
      <c r="AE268" s="74">
        <v>46021</v>
      </c>
      <c r="AF268" s="60"/>
      <c r="AG268" s="60"/>
      <c r="AH268" s="57"/>
      <c r="AI268" s="34"/>
      <c r="AJ268" s="34"/>
    </row>
    <row r="269" spans="1:36" s="2" customFormat="1" ht="16.5" x14ac:dyDescent="0.3">
      <c r="A269" s="27">
        <v>46009</v>
      </c>
      <c r="B269" s="27">
        <v>46007</v>
      </c>
      <c r="C269" s="21" t="s">
        <v>49</v>
      </c>
      <c r="D269" s="57" t="s">
        <v>519</v>
      </c>
      <c r="E269" s="70" t="s">
        <v>612</v>
      </c>
      <c r="F269" s="58" t="s">
        <v>140</v>
      </c>
      <c r="G269" s="57" t="s">
        <v>457</v>
      </c>
      <c r="H269" s="57" t="s">
        <v>457</v>
      </c>
      <c r="I269" s="57" t="s">
        <v>457</v>
      </c>
      <c r="J269" s="57" t="s">
        <v>457</v>
      </c>
      <c r="K269" s="60"/>
      <c r="L269" s="64"/>
      <c r="M269" s="63"/>
      <c r="N269" s="64"/>
      <c r="O269" s="64"/>
      <c r="P269" s="64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59">
        <f t="shared" si="18"/>
        <v>46021</v>
      </c>
      <c r="AD269" s="57"/>
      <c r="AE269" s="74">
        <v>46021</v>
      </c>
      <c r="AF269" s="60"/>
      <c r="AG269" s="60"/>
      <c r="AH269" s="57"/>
      <c r="AI269" s="34"/>
      <c r="AJ269" s="34"/>
    </row>
    <row r="270" spans="1:36" s="2" customFormat="1" ht="16.5" x14ac:dyDescent="0.3">
      <c r="A270" s="27">
        <v>46009</v>
      </c>
      <c r="B270" s="27">
        <v>46007</v>
      </c>
      <c r="C270" s="21" t="s">
        <v>49</v>
      </c>
      <c r="D270" s="57" t="s">
        <v>520</v>
      </c>
      <c r="E270" s="70" t="s">
        <v>613</v>
      </c>
      <c r="F270" s="58">
        <v>56</v>
      </c>
      <c r="G270" s="57" t="s">
        <v>457</v>
      </c>
      <c r="H270" s="57" t="s">
        <v>457</v>
      </c>
      <c r="I270" s="57" t="s">
        <v>457</v>
      </c>
      <c r="J270" s="57" t="s">
        <v>457</v>
      </c>
      <c r="K270" s="60"/>
      <c r="L270" s="64"/>
      <c r="M270" s="63"/>
      <c r="N270" s="64"/>
      <c r="O270" s="64"/>
      <c r="P270" s="64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59">
        <f t="shared" si="18"/>
        <v>46021</v>
      </c>
      <c r="AD270" s="57"/>
      <c r="AE270" s="74">
        <v>46021</v>
      </c>
      <c r="AF270" s="60"/>
      <c r="AG270" s="60"/>
      <c r="AH270" s="57"/>
      <c r="AI270" s="34"/>
      <c r="AJ270" s="34"/>
    </row>
    <row r="271" spans="1:36" s="2" customFormat="1" ht="16.5" x14ac:dyDescent="0.3">
      <c r="A271" s="27">
        <v>46009</v>
      </c>
      <c r="B271" s="27">
        <v>46007</v>
      </c>
      <c r="C271" s="21" t="s">
        <v>49</v>
      </c>
      <c r="D271" s="57" t="s">
        <v>614</v>
      </c>
      <c r="E271" s="70" t="s">
        <v>615</v>
      </c>
      <c r="F271" s="58">
        <v>58</v>
      </c>
      <c r="G271" s="57" t="s">
        <v>457</v>
      </c>
      <c r="H271" s="57" t="s">
        <v>457</v>
      </c>
      <c r="I271" s="57" t="s">
        <v>457</v>
      </c>
      <c r="J271" s="57" t="s">
        <v>457</v>
      </c>
      <c r="K271" s="60"/>
      <c r="L271" s="64"/>
      <c r="M271" s="63"/>
      <c r="N271" s="64"/>
      <c r="O271" s="64"/>
      <c r="P271" s="64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59">
        <f t="shared" ref="AC271" si="21">B271+14</f>
        <v>46021</v>
      </c>
      <c r="AD271" s="57"/>
      <c r="AE271" s="74">
        <v>46021</v>
      </c>
      <c r="AF271" s="60"/>
      <c r="AG271" s="60"/>
      <c r="AH271" s="57"/>
      <c r="AI271" s="34"/>
      <c r="AJ271" s="34"/>
    </row>
    <row r="272" spans="1:36" s="2" customFormat="1" ht="16.5" x14ac:dyDescent="0.3">
      <c r="A272" s="27">
        <v>46009</v>
      </c>
      <c r="B272" s="27">
        <v>46007</v>
      </c>
      <c r="C272" s="21" t="s">
        <v>49</v>
      </c>
      <c r="D272" s="57" t="s">
        <v>521</v>
      </c>
      <c r="E272" s="70" t="s">
        <v>616</v>
      </c>
      <c r="F272" s="58">
        <v>147</v>
      </c>
      <c r="G272" s="57" t="s">
        <v>457</v>
      </c>
      <c r="H272" s="57" t="s">
        <v>457</v>
      </c>
      <c r="I272" s="57" t="s">
        <v>457</v>
      </c>
      <c r="J272" s="57" t="s">
        <v>457</v>
      </c>
      <c r="K272" s="60"/>
      <c r="L272" s="64"/>
      <c r="M272" s="63"/>
      <c r="N272" s="64"/>
      <c r="O272" s="64"/>
      <c r="P272" s="64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59">
        <f t="shared" si="18"/>
        <v>46021</v>
      </c>
      <c r="AD272" s="57"/>
      <c r="AE272" s="74">
        <v>46021</v>
      </c>
      <c r="AF272" s="60"/>
      <c r="AG272" s="60"/>
      <c r="AH272" s="57"/>
      <c r="AI272" s="34"/>
      <c r="AJ272" s="34"/>
    </row>
    <row r="273" spans="1:36" s="2" customFormat="1" ht="16.5" x14ac:dyDescent="0.3">
      <c r="A273" s="27">
        <v>46009</v>
      </c>
      <c r="B273" s="27">
        <v>46007</v>
      </c>
      <c r="C273" s="21" t="s">
        <v>49</v>
      </c>
      <c r="D273" s="57" t="s">
        <v>522</v>
      </c>
      <c r="E273" s="70" t="s">
        <v>617</v>
      </c>
      <c r="F273" s="58" t="s">
        <v>140</v>
      </c>
      <c r="G273" s="57" t="s">
        <v>457</v>
      </c>
      <c r="H273" s="57" t="s">
        <v>457</v>
      </c>
      <c r="I273" s="57" t="s">
        <v>457</v>
      </c>
      <c r="J273" s="57" t="s">
        <v>457</v>
      </c>
      <c r="K273" s="60"/>
      <c r="L273" s="64"/>
      <c r="M273" s="63"/>
      <c r="N273" s="64"/>
      <c r="O273" s="64"/>
      <c r="P273" s="64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59">
        <f t="shared" si="18"/>
        <v>46021</v>
      </c>
      <c r="AD273" s="57"/>
      <c r="AE273" s="74">
        <v>46021</v>
      </c>
      <c r="AF273" s="60"/>
      <c r="AG273" s="60"/>
      <c r="AH273" s="57"/>
      <c r="AI273" s="34"/>
      <c r="AJ273" s="34"/>
    </row>
    <row r="274" spans="1:36" s="2" customFormat="1" ht="16.5" x14ac:dyDescent="0.3">
      <c r="A274" s="27">
        <v>46009</v>
      </c>
      <c r="B274" s="27">
        <v>46007</v>
      </c>
      <c r="C274" s="21" t="s">
        <v>49</v>
      </c>
      <c r="D274" s="57" t="s">
        <v>523</v>
      </c>
      <c r="E274" s="70" t="s">
        <v>618</v>
      </c>
      <c r="F274" s="58" t="s">
        <v>140</v>
      </c>
      <c r="G274" s="57" t="s">
        <v>457</v>
      </c>
      <c r="H274" s="57" t="s">
        <v>457</v>
      </c>
      <c r="I274" s="57" t="s">
        <v>457</v>
      </c>
      <c r="J274" s="57" t="s">
        <v>457</v>
      </c>
      <c r="K274" s="60"/>
      <c r="L274" s="64"/>
      <c r="M274" s="63"/>
      <c r="N274" s="64"/>
      <c r="O274" s="64"/>
      <c r="P274" s="64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59">
        <f t="shared" si="18"/>
        <v>46021</v>
      </c>
      <c r="AD274" s="57"/>
      <c r="AE274" s="74">
        <v>46021</v>
      </c>
      <c r="AF274" s="60"/>
      <c r="AG274" s="60"/>
      <c r="AH274" s="57"/>
      <c r="AI274" s="34"/>
      <c r="AJ274" s="34"/>
    </row>
    <row r="275" spans="1:36" s="2" customFormat="1" ht="16.5" x14ac:dyDescent="0.3">
      <c r="A275" s="27">
        <v>46009</v>
      </c>
      <c r="B275" s="27">
        <v>46007</v>
      </c>
      <c r="C275" s="21" t="s">
        <v>49</v>
      </c>
      <c r="D275" s="57" t="s">
        <v>524</v>
      </c>
      <c r="E275" s="70" t="s">
        <v>619</v>
      </c>
      <c r="F275" s="58" t="s">
        <v>140</v>
      </c>
      <c r="G275" s="57" t="s">
        <v>457</v>
      </c>
      <c r="H275" s="57" t="s">
        <v>457</v>
      </c>
      <c r="I275" s="57" t="s">
        <v>457</v>
      </c>
      <c r="J275" s="57" t="s">
        <v>457</v>
      </c>
      <c r="K275" s="60"/>
      <c r="L275" s="64"/>
      <c r="M275" s="63"/>
      <c r="N275" s="64"/>
      <c r="O275" s="64"/>
      <c r="P275" s="64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59">
        <f t="shared" si="18"/>
        <v>46021</v>
      </c>
      <c r="AD275" s="57"/>
      <c r="AE275" s="74">
        <v>46021</v>
      </c>
      <c r="AF275" s="60"/>
      <c r="AG275" s="60"/>
      <c r="AH275" s="57"/>
      <c r="AI275" s="34"/>
      <c r="AJ275" s="34"/>
    </row>
    <row r="276" spans="1:36" s="2" customFormat="1" ht="16.5" x14ac:dyDescent="0.3">
      <c r="A276" s="27">
        <v>46009</v>
      </c>
      <c r="B276" s="27">
        <v>46007</v>
      </c>
      <c r="C276" s="21" t="s">
        <v>49</v>
      </c>
      <c r="D276" s="57" t="s">
        <v>525</v>
      </c>
      <c r="E276" s="70" t="s">
        <v>620</v>
      </c>
      <c r="F276" s="58" t="s">
        <v>140</v>
      </c>
      <c r="G276" s="57" t="s">
        <v>457</v>
      </c>
      <c r="H276" s="57" t="s">
        <v>457</v>
      </c>
      <c r="I276" s="57" t="s">
        <v>457</v>
      </c>
      <c r="J276" s="57" t="s">
        <v>457</v>
      </c>
      <c r="K276" s="60"/>
      <c r="L276" s="64"/>
      <c r="M276" s="63"/>
      <c r="N276" s="64"/>
      <c r="O276" s="64"/>
      <c r="P276" s="64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59">
        <f t="shared" si="18"/>
        <v>46021</v>
      </c>
      <c r="AD276" s="57"/>
      <c r="AE276" s="74">
        <v>46021</v>
      </c>
      <c r="AF276" s="60"/>
      <c r="AG276" s="60"/>
      <c r="AH276" s="57"/>
      <c r="AI276" s="34"/>
      <c r="AJ276" s="34"/>
    </row>
    <row r="277" spans="1:36" s="2" customFormat="1" ht="16.5" x14ac:dyDescent="0.3">
      <c r="A277" s="27">
        <v>46009</v>
      </c>
      <c r="B277" s="27">
        <v>46007</v>
      </c>
      <c r="C277" s="21" t="s">
        <v>49</v>
      </c>
      <c r="D277" s="68" t="s">
        <v>526</v>
      </c>
      <c r="E277" s="86" t="s">
        <v>621</v>
      </c>
      <c r="F277" s="58" t="s">
        <v>140</v>
      </c>
      <c r="G277" s="57" t="s">
        <v>457</v>
      </c>
      <c r="H277" s="57" t="s">
        <v>457</v>
      </c>
      <c r="I277" s="57" t="s">
        <v>457</v>
      </c>
      <c r="J277" s="57" t="s">
        <v>457</v>
      </c>
      <c r="K277" s="60"/>
      <c r="L277" s="64"/>
      <c r="M277" s="63"/>
      <c r="N277" s="64"/>
      <c r="O277" s="64"/>
      <c r="P277" s="64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59">
        <f t="shared" si="18"/>
        <v>46021</v>
      </c>
      <c r="AD277" s="57"/>
      <c r="AE277" s="74">
        <v>46021</v>
      </c>
      <c r="AF277" s="60"/>
      <c r="AG277" s="60"/>
      <c r="AH277" s="68" t="s">
        <v>598</v>
      </c>
      <c r="AI277" s="34"/>
      <c r="AJ277" s="34"/>
    </row>
    <row r="278" spans="1:36" s="2" customFormat="1" ht="16.5" x14ac:dyDescent="0.3">
      <c r="A278" s="27">
        <v>46009</v>
      </c>
      <c r="B278" s="27">
        <v>46007</v>
      </c>
      <c r="C278" s="21" t="s">
        <v>49</v>
      </c>
      <c r="D278" s="68" t="s">
        <v>527</v>
      </c>
      <c r="E278" s="86" t="s">
        <v>464</v>
      </c>
      <c r="F278" s="58" t="s">
        <v>140</v>
      </c>
      <c r="G278" s="57" t="s">
        <v>457</v>
      </c>
      <c r="H278" s="57" t="s">
        <v>457</v>
      </c>
      <c r="I278" s="57" t="s">
        <v>457</v>
      </c>
      <c r="J278" s="57" t="s">
        <v>457</v>
      </c>
      <c r="K278" s="60"/>
      <c r="L278" s="64"/>
      <c r="M278" s="63"/>
      <c r="N278" s="64"/>
      <c r="O278" s="64"/>
      <c r="P278" s="64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59">
        <f t="shared" si="18"/>
        <v>46021</v>
      </c>
      <c r="AD278" s="57"/>
      <c r="AE278" s="74">
        <v>46021</v>
      </c>
      <c r="AF278" s="60"/>
      <c r="AG278" s="60"/>
      <c r="AH278" s="68" t="s">
        <v>598</v>
      </c>
      <c r="AI278" s="34"/>
      <c r="AJ278" s="34"/>
    </row>
    <row r="279" spans="1:36" s="2" customFormat="1" ht="16.5" x14ac:dyDescent="0.3">
      <c r="A279" s="27">
        <v>46009</v>
      </c>
      <c r="B279" s="27">
        <v>46007</v>
      </c>
      <c r="C279" s="21" t="s">
        <v>49</v>
      </c>
      <c r="D279" s="68" t="s">
        <v>528</v>
      </c>
      <c r="E279" s="86" t="s">
        <v>466</v>
      </c>
      <c r="F279" s="58">
        <v>90</v>
      </c>
      <c r="G279" s="57" t="s">
        <v>457</v>
      </c>
      <c r="H279" s="57" t="s">
        <v>457</v>
      </c>
      <c r="I279" s="57" t="s">
        <v>457</v>
      </c>
      <c r="J279" s="57" t="s">
        <v>457</v>
      </c>
      <c r="K279" s="60"/>
      <c r="L279" s="64"/>
      <c r="M279" s="63"/>
      <c r="N279" s="64"/>
      <c r="O279" s="64"/>
      <c r="P279" s="64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59">
        <f t="shared" si="18"/>
        <v>46021</v>
      </c>
      <c r="AD279" s="57"/>
      <c r="AE279" s="74">
        <v>46021</v>
      </c>
      <c r="AF279" s="60"/>
      <c r="AG279" s="60"/>
      <c r="AH279" s="68" t="s">
        <v>598</v>
      </c>
      <c r="AI279" s="34"/>
      <c r="AJ279" s="34"/>
    </row>
    <row r="280" spans="1:36" s="2" customFormat="1" ht="16.5" x14ac:dyDescent="0.3">
      <c r="A280" s="27">
        <v>46009</v>
      </c>
      <c r="B280" s="27">
        <v>46007</v>
      </c>
      <c r="C280" s="21" t="s">
        <v>49</v>
      </c>
      <c r="D280" s="57" t="s">
        <v>529</v>
      </c>
      <c r="E280" s="70" t="s">
        <v>622</v>
      </c>
      <c r="F280" s="58" t="s">
        <v>140</v>
      </c>
      <c r="G280" s="57" t="s">
        <v>457</v>
      </c>
      <c r="H280" s="57" t="s">
        <v>457</v>
      </c>
      <c r="I280" s="57" t="s">
        <v>457</v>
      </c>
      <c r="J280" s="57" t="s">
        <v>457</v>
      </c>
      <c r="K280" s="60"/>
      <c r="L280" s="64"/>
      <c r="M280" s="63"/>
      <c r="N280" s="64"/>
      <c r="O280" s="64"/>
      <c r="P280" s="64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59">
        <f t="shared" ref="AC280:AC300" si="22">B280+14</f>
        <v>46021</v>
      </c>
      <c r="AD280" s="57"/>
      <c r="AE280" s="74">
        <v>46021</v>
      </c>
      <c r="AF280" s="60"/>
      <c r="AG280" s="60"/>
      <c r="AH280" s="57"/>
      <c r="AI280" s="34"/>
      <c r="AJ280" s="34"/>
    </row>
    <row r="281" spans="1:36" s="2" customFormat="1" ht="16.5" x14ac:dyDescent="0.3">
      <c r="A281" s="27">
        <v>46009</v>
      </c>
      <c r="B281" s="27">
        <v>46007</v>
      </c>
      <c r="C281" s="21" t="s">
        <v>49</v>
      </c>
      <c r="D281" s="57" t="s">
        <v>530</v>
      </c>
      <c r="E281" s="70" t="s">
        <v>623</v>
      </c>
      <c r="F281" s="58" t="s">
        <v>140</v>
      </c>
      <c r="G281" s="57" t="s">
        <v>457</v>
      </c>
      <c r="H281" s="57" t="s">
        <v>457</v>
      </c>
      <c r="I281" s="57" t="s">
        <v>457</v>
      </c>
      <c r="J281" s="57" t="s">
        <v>457</v>
      </c>
      <c r="K281" s="60"/>
      <c r="L281" s="64"/>
      <c r="M281" s="63"/>
      <c r="N281" s="64"/>
      <c r="O281" s="64"/>
      <c r="P281" s="64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59">
        <f t="shared" si="22"/>
        <v>46021</v>
      </c>
      <c r="AD281" s="57"/>
      <c r="AE281" s="74">
        <v>46021</v>
      </c>
      <c r="AF281" s="60"/>
      <c r="AG281" s="60"/>
      <c r="AH281" s="57"/>
      <c r="AI281" s="34"/>
      <c r="AJ281" s="34"/>
    </row>
    <row r="282" spans="1:36" s="2" customFormat="1" ht="16.5" x14ac:dyDescent="0.3">
      <c r="A282" s="27">
        <v>46009</v>
      </c>
      <c r="B282" s="27">
        <v>46007</v>
      </c>
      <c r="C282" s="21" t="s">
        <v>49</v>
      </c>
      <c r="D282" s="57" t="s">
        <v>531</v>
      </c>
      <c r="E282" s="70" t="s">
        <v>624</v>
      </c>
      <c r="F282" s="58" t="s">
        <v>140</v>
      </c>
      <c r="G282" s="57" t="s">
        <v>457</v>
      </c>
      <c r="H282" s="57" t="s">
        <v>457</v>
      </c>
      <c r="I282" s="57" t="s">
        <v>457</v>
      </c>
      <c r="J282" s="57" t="s">
        <v>457</v>
      </c>
      <c r="K282" s="60"/>
      <c r="L282" s="64"/>
      <c r="M282" s="63"/>
      <c r="N282" s="64"/>
      <c r="O282" s="64"/>
      <c r="P282" s="64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59">
        <f t="shared" si="22"/>
        <v>46021</v>
      </c>
      <c r="AD282" s="57"/>
      <c r="AE282" s="74">
        <v>46021</v>
      </c>
      <c r="AF282" s="60"/>
      <c r="AG282" s="60"/>
      <c r="AH282" s="57"/>
      <c r="AI282" s="34"/>
      <c r="AJ282" s="34"/>
    </row>
    <row r="283" spans="1:36" s="2" customFormat="1" ht="16.5" x14ac:dyDescent="0.3">
      <c r="A283" s="27">
        <v>46009</v>
      </c>
      <c r="B283" s="27">
        <v>46007</v>
      </c>
      <c r="C283" s="21" t="s">
        <v>49</v>
      </c>
      <c r="D283" s="57" t="s">
        <v>532</v>
      </c>
      <c r="E283" s="70" t="s">
        <v>625</v>
      </c>
      <c r="F283" s="58" t="s">
        <v>140</v>
      </c>
      <c r="G283" s="57" t="s">
        <v>457</v>
      </c>
      <c r="H283" s="57" t="s">
        <v>457</v>
      </c>
      <c r="I283" s="57" t="s">
        <v>457</v>
      </c>
      <c r="J283" s="57" t="s">
        <v>457</v>
      </c>
      <c r="K283" s="60"/>
      <c r="L283" s="64"/>
      <c r="M283" s="63"/>
      <c r="N283" s="64"/>
      <c r="O283" s="64"/>
      <c r="P283" s="64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59">
        <f t="shared" si="22"/>
        <v>46021</v>
      </c>
      <c r="AD283" s="57"/>
      <c r="AE283" s="74">
        <v>46021</v>
      </c>
      <c r="AF283" s="60"/>
      <c r="AG283" s="60"/>
      <c r="AH283" s="57"/>
      <c r="AI283" s="34"/>
      <c r="AJ283" s="34"/>
    </row>
    <row r="284" spans="1:36" s="2" customFormat="1" ht="16.5" x14ac:dyDescent="0.3">
      <c r="A284" s="27">
        <v>46009</v>
      </c>
      <c r="B284" s="27">
        <v>46007</v>
      </c>
      <c r="C284" s="21" t="s">
        <v>49</v>
      </c>
      <c r="D284" s="57" t="s">
        <v>533</v>
      </c>
      <c r="E284" s="70" t="s">
        <v>626</v>
      </c>
      <c r="F284" s="58" t="s">
        <v>140</v>
      </c>
      <c r="G284" s="57" t="s">
        <v>457</v>
      </c>
      <c r="H284" s="57" t="s">
        <v>457</v>
      </c>
      <c r="I284" s="57" t="s">
        <v>457</v>
      </c>
      <c r="J284" s="57" t="s">
        <v>457</v>
      </c>
      <c r="K284" s="60"/>
      <c r="L284" s="64"/>
      <c r="M284" s="63"/>
      <c r="N284" s="64"/>
      <c r="O284" s="64"/>
      <c r="P284" s="64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59">
        <f t="shared" si="22"/>
        <v>46021</v>
      </c>
      <c r="AD284" s="57"/>
      <c r="AE284" s="74">
        <v>46021</v>
      </c>
      <c r="AF284" s="60"/>
      <c r="AG284" s="60"/>
      <c r="AH284" s="57"/>
      <c r="AI284" s="34"/>
      <c r="AJ284" s="34"/>
    </row>
    <row r="285" spans="1:36" s="2" customFormat="1" ht="16.5" x14ac:dyDescent="0.3">
      <c r="A285" s="27">
        <v>46009</v>
      </c>
      <c r="B285" s="27">
        <v>46007</v>
      </c>
      <c r="C285" s="21" t="s">
        <v>49</v>
      </c>
      <c r="D285" s="57" t="s">
        <v>534</v>
      </c>
      <c r="E285" s="70" t="s">
        <v>627</v>
      </c>
      <c r="F285" s="58" t="s">
        <v>140</v>
      </c>
      <c r="G285" s="57" t="s">
        <v>457</v>
      </c>
      <c r="H285" s="57" t="s">
        <v>457</v>
      </c>
      <c r="I285" s="57" t="s">
        <v>457</v>
      </c>
      <c r="J285" s="57" t="s">
        <v>457</v>
      </c>
      <c r="K285" s="60"/>
      <c r="L285" s="64"/>
      <c r="M285" s="63"/>
      <c r="N285" s="64"/>
      <c r="O285" s="64"/>
      <c r="P285" s="64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59">
        <f t="shared" si="22"/>
        <v>46021</v>
      </c>
      <c r="AD285" s="57"/>
      <c r="AE285" s="74">
        <v>46021</v>
      </c>
      <c r="AF285" s="60"/>
      <c r="AG285" s="60"/>
      <c r="AH285" s="57"/>
      <c r="AI285" s="34"/>
      <c r="AJ285" s="34"/>
    </row>
    <row r="286" spans="1:36" s="2" customFormat="1" ht="16.5" x14ac:dyDescent="0.3">
      <c r="A286" s="27">
        <v>46009</v>
      </c>
      <c r="B286" s="27">
        <v>46007</v>
      </c>
      <c r="C286" s="21" t="s">
        <v>49</v>
      </c>
      <c r="D286" s="57" t="s">
        <v>535</v>
      </c>
      <c r="E286" s="70" t="s">
        <v>628</v>
      </c>
      <c r="F286" s="58" t="s">
        <v>140</v>
      </c>
      <c r="G286" s="57" t="s">
        <v>457</v>
      </c>
      <c r="H286" s="57" t="s">
        <v>457</v>
      </c>
      <c r="I286" s="57" t="s">
        <v>457</v>
      </c>
      <c r="J286" s="57" t="s">
        <v>457</v>
      </c>
      <c r="K286" s="60"/>
      <c r="L286" s="64"/>
      <c r="M286" s="63"/>
      <c r="N286" s="64"/>
      <c r="O286" s="64"/>
      <c r="P286" s="64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59">
        <f t="shared" si="22"/>
        <v>46021</v>
      </c>
      <c r="AD286" s="57"/>
      <c r="AE286" s="74">
        <v>46021</v>
      </c>
      <c r="AF286" s="60"/>
      <c r="AG286" s="60"/>
      <c r="AH286" s="57"/>
      <c r="AI286" s="34"/>
      <c r="AJ286" s="34"/>
    </row>
    <row r="287" spans="1:36" s="2" customFormat="1" ht="16.5" x14ac:dyDescent="0.3">
      <c r="A287" s="27">
        <v>46009</v>
      </c>
      <c r="B287" s="27">
        <v>46007</v>
      </c>
      <c r="C287" s="21" t="s">
        <v>49</v>
      </c>
      <c r="D287" s="57" t="s">
        <v>536</v>
      </c>
      <c r="E287" s="70" t="s">
        <v>629</v>
      </c>
      <c r="F287" s="58" t="s">
        <v>140</v>
      </c>
      <c r="G287" s="57" t="s">
        <v>457</v>
      </c>
      <c r="H287" s="57" t="s">
        <v>457</v>
      </c>
      <c r="I287" s="57" t="s">
        <v>457</v>
      </c>
      <c r="J287" s="57" t="s">
        <v>457</v>
      </c>
      <c r="K287" s="60"/>
      <c r="L287" s="64"/>
      <c r="M287" s="63"/>
      <c r="N287" s="64"/>
      <c r="O287" s="64"/>
      <c r="P287" s="64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59">
        <f t="shared" si="22"/>
        <v>46021</v>
      </c>
      <c r="AD287" s="57"/>
      <c r="AE287" s="74">
        <v>46021</v>
      </c>
      <c r="AF287" s="60"/>
      <c r="AG287" s="60"/>
      <c r="AH287" s="57"/>
      <c r="AI287" s="34"/>
      <c r="AJ287" s="34"/>
    </row>
    <row r="288" spans="1:36" s="2" customFormat="1" ht="16.5" x14ac:dyDescent="0.3">
      <c r="A288" s="27">
        <v>46009</v>
      </c>
      <c r="B288" s="27">
        <v>46007</v>
      </c>
      <c r="C288" s="21" t="s">
        <v>49</v>
      </c>
      <c r="D288" s="57" t="s">
        <v>537</v>
      </c>
      <c r="E288" s="70" t="s">
        <v>630</v>
      </c>
      <c r="F288" s="58" t="s">
        <v>140</v>
      </c>
      <c r="G288" s="57" t="s">
        <v>457</v>
      </c>
      <c r="H288" s="57" t="s">
        <v>457</v>
      </c>
      <c r="I288" s="57" t="s">
        <v>457</v>
      </c>
      <c r="J288" s="57" t="s">
        <v>457</v>
      </c>
      <c r="K288" s="60"/>
      <c r="L288" s="64"/>
      <c r="M288" s="63"/>
      <c r="N288" s="64"/>
      <c r="O288" s="64"/>
      <c r="P288" s="64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59">
        <f t="shared" si="22"/>
        <v>46021</v>
      </c>
      <c r="AD288" s="57"/>
      <c r="AE288" s="74">
        <v>46021</v>
      </c>
      <c r="AF288" s="60"/>
      <c r="AG288" s="60"/>
      <c r="AH288" s="57"/>
      <c r="AI288" s="34"/>
      <c r="AJ288" s="34"/>
    </row>
    <row r="289" spans="1:36" s="2" customFormat="1" ht="16.5" x14ac:dyDescent="0.3">
      <c r="A289" s="27">
        <v>46009</v>
      </c>
      <c r="B289" s="27">
        <v>46007</v>
      </c>
      <c r="C289" s="21" t="s">
        <v>49</v>
      </c>
      <c r="D289" s="57" t="s">
        <v>538</v>
      </c>
      <c r="E289" s="70" t="s">
        <v>631</v>
      </c>
      <c r="F289" s="58" t="s">
        <v>140</v>
      </c>
      <c r="G289" s="57" t="s">
        <v>457</v>
      </c>
      <c r="H289" s="57" t="s">
        <v>457</v>
      </c>
      <c r="I289" s="57" t="s">
        <v>457</v>
      </c>
      <c r="J289" s="57" t="s">
        <v>457</v>
      </c>
      <c r="K289" s="60"/>
      <c r="L289" s="64"/>
      <c r="M289" s="63"/>
      <c r="N289" s="64"/>
      <c r="O289" s="64"/>
      <c r="P289" s="64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59">
        <f t="shared" si="22"/>
        <v>46021</v>
      </c>
      <c r="AD289" s="57"/>
      <c r="AE289" s="74">
        <v>46021</v>
      </c>
      <c r="AF289" s="60"/>
      <c r="AG289" s="60"/>
      <c r="AH289" s="57"/>
      <c r="AI289" s="34"/>
      <c r="AJ289" s="34"/>
    </row>
    <row r="290" spans="1:36" s="2" customFormat="1" ht="16.5" x14ac:dyDescent="0.3">
      <c r="A290" s="27">
        <v>46009</v>
      </c>
      <c r="B290" s="27">
        <v>46007</v>
      </c>
      <c r="C290" s="21" t="s">
        <v>49</v>
      </c>
      <c r="D290" s="57" t="s">
        <v>539</v>
      </c>
      <c r="E290" s="70" t="s">
        <v>632</v>
      </c>
      <c r="F290" s="58" t="s">
        <v>140</v>
      </c>
      <c r="G290" s="57" t="s">
        <v>457</v>
      </c>
      <c r="H290" s="57" t="s">
        <v>457</v>
      </c>
      <c r="I290" s="57" t="s">
        <v>457</v>
      </c>
      <c r="J290" s="57" t="s">
        <v>457</v>
      </c>
      <c r="K290" s="60"/>
      <c r="L290" s="64"/>
      <c r="M290" s="63"/>
      <c r="N290" s="64"/>
      <c r="O290" s="64"/>
      <c r="P290" s="64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59">
        <f t="shared" si="22"/>
        <v>46021</v>
      </c>
      <c r="AD290" s="57"/>
      <c r="AE290" s="74">
        <v>46021</v>
      </c>
      <c r="AF290" s="60"/>
      <c r="AG290" s="60"/>
      <c r="AH290" s="57"/>
      <c r="AI290" s="34"/>
      <c r="AJ290" s="34"/>
    </row>
    <row r="291" spans="1:36" s="2" customFormat="1" ht="16.5" x14ac:dyDescent="0.3">
      <c r="A291" s="27">
        <v>46009</v>
      </c>
      <c r="B291" s="27">
        <v>46007</v>
      </c>
      <c r="C291" s="21" t="s">
        <v>49</v>
      </c>
      <c r="D291" s="57" t="s">
        <v>540</v>
      </c>
      <c r="E291" s="70" t="s">
        <v>633</v>
      </c>
      <c r="F291" s="58" t="s">
        <v>140</v>
      </c>
      <c r="G291" s="57" t="s">
        <v>457</v>
      </c>
      <c r="H291" s="57" t="s">
        <v>457</v>
      </c>
      <c r="I291" s="57" t="s">
        <v>457</v>
      </c>
      <c r="J291" s="57" t="s">
        <v>457</v>
      </c>
      <c r="K291" s="60"/>
      <c r="L291" s="64"/>
      <c r="M291" s="63"/>
      <c r="N291" s="64"/>
      <c r="O291" s="64"/>
      <c r="P291" s="64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59">
        <f t="shared" si="22"/>
        <v>46021</v>
      </c>
      <c r="AD291" s="57"/>
      <c r="AE291" s="74">
        <v>46021</v>
      </c>
      <c r="AF291" s="60"/>
      <c r="AG291" s="60"/>
      <c r="AH291" s="57"/>
      <c r="AI291" s="34"/>
      <c r="AJ291" s="34"/>
    </row>
    <row r="292" spans="1:36" s="2" customFormat="1" ht="16.5" x14ac:dyDescent="0.3">
      <c r="A292" s="27">
        <v>46009</v>
      </c>
      <c r="B292" s="27">
        <v>46007</v>
      </c>
      <c r="C292" s="21" t="s">
        <v>49</v>
      </c>
      <c r="D292" s="57" t="s">
        <v>634</v>
      </c>
      <c r="E292" s="70" t="s">
        <v>635</v>
      </c>
      <c r="F292" s="58" t="s">
        <v>140</v>
      </c>
      <c r="G292" s="57" t="s">
        <v>457</v>
      </c>
      <c r="H292" s="57" t="s">
        <v>457</v>
      </c>
      <c r="I292" s="57" t="s">
        <v>457</v>
      </c>
      <c r="J292" s="57" t="s">
        <v>457</v>
      </c>
      <c r="K292" s="60"/>
      <c r="L292" s="64"/>
      <c r="M292" s="63"/>
      <c r="N292" s="64"/>
      <c r="O292" s="64"/>
      <c r="P292" s="64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59">
        <f t="shared" ref="AC292" si="23">B292+14</f>
        <v>46021</v>
      </c>
      <c r="AD292" s="57"/>
      <c r="AE292" s="74">
        <v>46021</v>
      </c>
      <c r="AF292" s="60"/>
      <c r="AG292" s="60"/>
      <c r="AH292" s="57"/>
      <c r="AI292" s="34"/>
      <c r="AJ292" s="34"/>
    </row>
    <row r="293" spans="1:36" s="2" customFormat="1" ht="16.5" x14ac:dyDescent="0.3">
      <c r="A293" s="27">
        <v>46009</v>
      </c>
      <c r="B293" s="27">
        <v>46007</v>
      </c>
      <c r="C293" s="21" t="s">
        <v>49</v>
      </c>
      <c r="D293" s="57" t="s">
        <v>541</v>
      </c>
      <c r="E293" s="70" t="s">
        <v>636</v>
      </c>
      <c r="F293" s="58" t="s">
        <v>140</v>
      </c>
      <c r="G293" s="57" t="s">
        <v>457</v>
      </c>
      <c r="H293" s="57" t="s">
        <v>457</v>
      </c>
      <c r="I293" s="57" t="s">
        <v>457</v>
      </c>
      <c r="J293" s="57" t="s">
        <v>457</v>
      </c>
      <c r="K293" s="60"/>
      <c r="L293" s="64"/>
      <c r="M293" s="63"/>
      <c r="N293" s="64"/>
      <c r="O293" s="64"/>
      <c r="P293" s="64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59">
        <f t="shared" si="22"/>
        <v>46021</v>
      </c>
      <c r="AD293" s="57"/>
      <c r="AE293" s="74">
        <v>46021</v>
      </c>
      <c r="AF293" s="60"/>
      <c r="AG293" s="60"/>
      <c r="AH293" s="57"/>
      <c r="AI293" s="34"/>
      <c r="AJ293" s="34"/>
    </row>
    <row r="294" spans="1:36" s="2" customFormat="1" ht="16.5" x14ac:dyDescent="0.3">
      <c r="A294" s="27">
        <v>46009</v>
      </c>
      <c r="B294" s="27">
        <v>46007</v>
      </c>
      <c r="C294" s="21" t="s">
        <v>49</v>
      </c>
      <c r="D294" s="57" t="s">
        <v>542</v>
      </c>
      <c r="E294" s="70" t="s">
        <v>637</v>
      </c>
      <c r="F294" s="58" t="s">
        <v>140</v>
      </c>
      <c r="G294" s="57" t="s">
        <v>457</v>
      </c>
      <c r="H294" s="57" t="s">
        <v>457</v>
      </c>
      <c r="I294" s="57" t="s">
        <v>457</v>
      </c>
      <c r="J294" s="57" t="s">
        <v>457</v>
      </c>
      <c r="K294" s="60"/>
      <c r="L294" s="64"/>
      <c r="M294" s="63"/>
      <c r="N294" s="64"/>
      <c r="O294" s="64"/>
      <c r="P294" s="64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59">
        <f t="shared" si="22"/>
        <v>46021</v>
      </c>
      <c r="AD294" s="57"/>
      <c r="AE294" s="74">
        <v>46021</v>
      </c>
      <c r="AF294" s="60"/>
      <c r="AG294" s="60"/>
      <c r="AH294" s="57"/>
      <c r="AI294" s="34"/>
      <c r="AJ294" s="34"/>
    </row>
    <row r="295" spans="1:36" s="2" customFormat="1" ht="16.5" x14ac:dyDescent="0.3">
      <c r="A295" s="27">
        <v>46009</v>
      </c>
      <c r="B295" s="27">
        <v>46007</v>
      </c>
      <c r="C295" s="21" t="s">
        <v>49</v>
      </c>
      <c r="D295" s="57" t="s">
        <v>543</v>
      </c>
      <c r="E295" s="70" t="s">
        <v>638</v>
      </c>
      <c r="F295" s="58" t="s">
        <v>140</v>
      </c>
      <c r="G295" s="57" t="s">
        <v>457</v>
      </c>
      <c r="H295" s="57" t="s">
        <v>457</v>
      </c>
      <c r="I295" s="57" t="s">
        <v>457</v>
      </c>
      <c r="J295" s="57" t="s">
        <v>457</v>
      </c>
      <c r="K295" s="60"/>
      <c r="L295" s="64"/>
      <c r="M295" s="63"/>
      <c r="N295" s="64"/>
      <c r="O295" s="64"/>
      <c r="P295" s="64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59">
        <f t="shared" si="22"/>
        <v>46021</v>
      </c>
      <c r="AD295" s="57"/>
      <c r="AE295" s="74">
        <v>46021</v>
      </c>
      <c r="AF295" s="60"/>
      <c r="AG295" s="60"/>
      <c r="AH295" s="57"/>
      <c r="AI295" s="34"/>
      <c r="AJ295" s="34"/>
    </row>
    <row r="296" spans="1:36" s="2" customFormat="1" ht="16.5" x14ac:dyDescent="0.3">
      <c r="A296" s="27">
        <v>46009</v>
      </c>
      <c r="B296" s="27">
        <v>46007</v>
      </c>
      <c r="C296" s="21" t="s">
        <v>49</v>
      </c>
      <c r="D296" s="57" t="s">
        <v>544</v>
      </c>
      <c r="E296" s="70" t="s">
        <v>639</v>
      </c>
      <c r="F296" s="58" t="s">
        <v>140</v>
      </c>
      <c r="G296" s="57" t="s">
        <v>457</v>
      </c>
      <c r="H296" s="57" t="s">
        <v>457</v>
      </c>
      <c r="I296" s="57" t="s">
        <v>457</v>
      </c>
      <c r="J296" s="57" t="s">
        <v>457</v>
      </c>
      <c r="K296" s="60"/>
      <c r="L296" s="64"/>
      <c r="M296" s="63"/>
      <c r="N296" s="64"/>
      <c r="O296" s="64"/>
      <c r="P296" s="64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59">
        <f t="shared" si="22"/>
        <v>46021</v>
      </c>
      <c r="AD296" s="57"/>
      <c r="AE296" s="74">
        <v>46021</v>
      </c>
      <c r="AF296" s="60"/>
      <c r="AG296" s="60"/>
      <c r="AH296" s="57"/>
      <c r="AI296" s="34"/>
      <c r="AJ296" s="34"/>
    </row>
    <row r="297" spans="1:36" s="2" customFormat="1" ht="16.5" x14ac:dyDescent="0.3">
      <c r="A297" s="27">
        <v>46009</v>
      </c>
      <c r="B297" s="27">
        <v>46007</v>
      </c>
      <c r="C297" s="21" t="s">
        <v>49</v>
      </c>
      <c r="D297" s="57" t="s">
        <v>545</v>
      </c>
      <c r="E297" s="70" t="s">
        <v>640</v>
      </c>
      <c r="F297" s="58" t="s">
        <v>140</v>
      </c>
      <c r="G297" s="57" t="s">
        <v>457</v>
      </c>
      <c r="H297" s="57" t="s">
        <v>457</v>
      </c>
      <c r="I297" s="57" t="s">
        <v>457</v>
      </c>
      <c r="J297" s="57" t="s">
        <v>457</v>
      </c>
      <c r="K297" s="60"/>
      <c r="L297" s="64"/>
      <c r="M297" s="63"/>
      <c r="N297" s="64"/>
      <c r="O297" s="64"/>
      <c r="P297" s="64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59">
        <f t="shared" si="22"/>
        <v>46021</v>
      </c>
      <c r="AD297" s="57"/>
      <c r="AE297" s="74">
        <v>46021</v>
      </c>
      <c r="AF297" s="60"/>
      <c r="AG297" s="60"/>
      <c r="AH297" s="57"/>
      <c r="AI297" s="34"/>
      <c r="AJ297" s="34"/>
    </row>
    <row r="298" spans="1:36" s="2" customFormat="1" ht="16.5" x14ac:dyDescent="0.3">
      <c r="A298" s="27">
        <v>46009</v>
      </c>
      <c r="B298" s="27">
        <v>46007</v>
      </c>
      <c r="C298" s="21" t="s">
        <v>49</v>
      </c>
      <c r="D298" s="57" t="s">
        <v>546</v>
      </c>
      <c r="E298" s="70" t="s">
        <v>641</v>
      </c>
      <c r="F298" s="58" t="s">
        <v>140</v>
      </c>
      <c r="G298" s="57" t="s">
        <v>457</v>
      </c>
      <c r="H298" s="57" t="s">
        <v>457</v>
      </c>
      <c r="I298" s="57" t="s">
        <v>457</v>
      </c>
      <c r="J298" s="57" t="s">
        <v>457</v>
      </c>
      <c r="K298" s="60"/>
      <c r="L298" s="64"/>
      <c r="M298" s="63"/>
      <c r="N298" s="64"/>
      <c r="O298" s="64"/>
      <c r="P298" s="64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59">
        <f t="shared" si="22"/>
        <v>46021</v>
      </c>
      <c r="AD298" s="57"/>
      <c r="AE298" s="74">
        <v>46021</v>
      </c>
      <c r="AF298" s="60"/>
      <c r="AG298" s="60"/>
      <c r="AH298" s="57"/>
      <c r="AI298" s="34"/>
      <c r="AJ298" s="34"/>
    </row>
    <row r="299" spans="1:36" s="2" customFormat="1" ht="16.5" x14ac:dyDescent="0.3">
      <c r="A299" s="27">
        <v>46009</v>
      </c>
      <c r="B299" s="27">
        <v>46007</v>
      </c>
      <c r="C299" s="21" t="s">
        <v>49</v>
      </c>
      <c r="D299" s="57" t="s">
        <v>547</v>
      </c>
      <c r="E299" s="70" t="s">
        <v>642</v>
      </c>
      <c r="F299" s="58" t="s">
        <v>140</v>
      </c>
      <c r="G299" s="57" t="s">
        <v>457</v>
      </c>
      <c r="H299" s="57" t="s">
        <v>457</v>
      </c>
      <c r="I299" s="57" t="s">
        <v>457</v>
      </c>
      <c r="J299" s="57" t="s">
        <v>457</v>
      </c>
      <c r="K299" s="60"/>
      <c r="L299" s="64"/>
      <c r="M299" s="63"/>
      <c r="N299" s="64"/>
      <c r="O299" s="64"/>
      <c r="P299" s="64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59">
        <f t="shared" si="22"/>
        <v>46021</v>
      </c>
      <c r="AD299" s="57"/>
      <c r="AE299" s="74">
        <v>46021</v>
      </c>
      <c r="AF299" s="60"/>
      <c r="AG299" s="60"/>
      <c r="AH299" s="57"/>
      <c r="AI299" s="34"/>
      <c r="AJ299" s="34"/>
    </row>
    <row r="300" spans="1:36" s="2" customFormat="1" ht="16.5" x14ac:dyDescent="0.3">
      <c r="A300" s="27">
        <v>46009</v>
      </c>
      <c r="B300" s="27">
        <v>46007</v>
      </c>
      <c r="C300" s="21" t="s">
        <v>49</v>
      </c>
      <c r="D300" s="57" t="s">
        <v>548</v>
      </c>
      <c r="E300" s="70" t="s">
        <v>643</v>
      </c>
      <c r="F300" s="58" t="s">
        <v>140</v>
      </c>
      <c r="G300" s="57" t="s">
        <v>457</v>
      </c>
      <c r="H300" s="57" t="s">
        <v>457</v>
      </c>
      <c r="I300" s="57" t="s">
        <v>457</v>
      </c>
      <c r="J300" s="57" t="s">
        <v>457</v>
      </c>
      <c r="K300" s="60"/>
      <c r="L300" s="64"/>
      <c r="M300" s="63"/>
      <c r="N300" s="64"/>
      <c r="O300" s="64"/>
      <c r="P300" s="64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59">
        <f t="shared" si="22"/>
        <v>46021</v>
      </c>
      <c r="AD300" s="57"/>
      <c r="AE300" s="74">
        <v>46021</v>
      </c>
      <c r="AF300" s="60"/>
      <c r="AG300" s="60"/>
      <c r="AH300" s="57"/>
      <c r="AI300" s="34"/>
      <c r="AJ300" s="34"/>
    </row>
    <row r="301" spans="1:36" s="2" customFormat="1" ht="16.5" x14ac:dyDescent="0.3">
      <c r="A301" s="27">
        <v>46009</v>
      </c>
      <c r="B301" s="27">
        <v>46007</v>
      </c>
      <c r="C301" s="21" t="s">
        <v>49</v>
      </c>
      <c r="D301" s="57" t="s">
        <v>644</v>
      </c>
      <c r="E301" s="70" t="s">
        <v>646</v>
      </c>
      <c r="F301" s="58" t="s">
        <v>140</v>
      </c>
      <c r="G301" s="57" t="s">
        <v>457</v>
      </c>
      <c r="H301" s="57" t="s">
        <v>457</v>
      </c>
      <c r="I301" s="57" t="s">
        <v>457</v>
      </c>
      <c r="J301" s="57" t="s">
        <v>457</v>
      </c>
      <c r="K301" s="60"/>
      <c r="L301" s="64"/>
      <c r="M301" s="63"/>
      <c r="N301" s="64"/>
      <c r="O301" s="64"/>
      <c r="P301" s="64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59">
        <f t="shared" ref="AC301:AC302" si="24">B301+14</f>
        <v>46021</v>
      </c>
      <c r="AD301" s="57"/>
      <c r="AE301" s="74">
        <v>46021</v>
      </c>
      <c r="AF301" s="60"/>
      <c r="AG301" s="60"/>
      <c r="AH301" s="57"/>
      <c r="AI301" s="34"/>
      <c r="AJ301" s="34"/>
    </row>
    <row r="302" spans="1:36" s="2" customFormat="1" ht="16.5" x14ac:dyDescent="0.3">
      <c r="A302" s="27">
        <v>46009</v>
      </c>
      <c r="B302" s="27">
        <v>46007</v>
      </c>
      <c r="C302" s="21" t="s">
        <v>49</v>
      </c>
      <c r="D302" s="57" t="s">
        <v>645</v>
      </c>
      <c r="E302" s="70" t="s">
        <v>647</v>
      </c>
      <c r="F302" s="58" t="s">
        <v>140</v>
      </c>
      <c r="G302" s="57" t="s">
        <v>457</v>
      </c>
      <c r="H302" s="57" t="s">
        <v>457</v>
      </c>
      <c r="I302" s="57" t="s">
        <v>457</v>
      </c>
      <c r="J302" s="57" t="s">
        <v>457</v>
      </c>
      <c r="K302" s="60"/>
      <c r="L302" s="61">
        <v>1.4</v>
      </c>
      <c r="M302" s="63"/>
      <c r="N302" s="61" t="s">
        <v>140</v>
      </c>
      <c r="O302" s="64"/>
      <c r="P302" s="64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59">
        <f t="shared" si="24"/>
        <v>46021</v>
      </c>
      <c r="AD302" s="57"/>
      <c r="AE302" s="74">
        <v>46021</v>
      </c>
      <c r="AF302" s="59">
        <v>46020</v>
      </c>
      <c r="AG302" s="60"/>
      <c r="AH302" s="57"/>
      <c r="AI302" s="34"/>
      <c r="AJ302" s="34"/>
    </row>
    <row r="303" spans="1:36" s="2" customFormat="1" ht="16.5" x14ac:dyDescent="0.3">
      <c r="A303" s="27">
        <v>46013</v>
      </c>
      <c r="B303" s="27">
        <v>46008</v>
      </c>
      <c r="C303" s="21" t="s">
        <v>49</v>
      </c>
      <c r="D303" s="57" t="s">
        <v>648</v>
      </c>
      <c r="E303" s="70" t="s">
        <v>649</v>
      </c>
      <c r="F303" s="89"/>
      <c r="G303" s="60"/>
      <c r="H303" s="60"/>
      <c r="I303" s="60"/>
      <c r="J303" s="60"/>
      <c r="K303" s="60"/>
      <c r="L303" s="61">
        <v>22.7</v>
      </c>
      <c r="M303" s="63"/>
      <c r="N303" s="61">
        <v>18.7</v>
      </c>
      <c r="O303" s="64"/>
      <c r="P303" s="64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59">
        <f t="shared" ref="AC303" si="25">B303+14</f>
        <v>46022</v>
      </c>
      <c r="AD303" s="57"/>
      <c r="AE303" s="60"/>
      <c r="AF303" s="59">
        <v>46020</v>
      </c>
      <c r="AG303" s="60"/>
      <c r="AH303" s="57"/>
      <c r="AI303" s="34"/>
      <c r="AJ303" s="34"/>
    </row>
    <row r="304" spans="1:36" s="2" customFormat="1" ht="16.5" x14ac:dyDescent="0.3">
      <c r="A304" s="27">
        <v>46013</v>
      </c>
      <c r="B304" s="27">
        <v>46008</v>
      </c>
      <c r="C304" s="21" t="s">
        <v>49</v>
      </c>
      <c r="D304" s="57" t="s">
        <v>650</v>
      </c>
      <c r="E304" s="70" t="s">
        <v>651</v>
      </c>
      <c r="F304" s="89"/>
      <c r="G304" s="60"/>
      <c r="H304" s="60"/>
      <c r="I304" s="60"/>
      <c r="J304" s="60"/>
      <c r="K304" s="60"/>
      <c r="L304" s="61">
        <v>14.6</v>
      </c>
      <c r="M304" s="63"/>
      <c r="N304" s="61">
        <v>12.8</v>
      </c>
      <c r="O304" s="64"/>
      <c r="P304" s="64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59">
        <f t="shared" ref="AC304:AC370" si="26">B304+14</f>
        <v>46022</v>
      </c>
      <c r="AD304" s="57"/>
      <c r="AE304" s="60"/>
      <c r="AF304" s="59">
        <v>46020</v>
      </c>
      <c r="AG304" s="60"/>
      <c r="AH304" s="57"/>
      <c r="AI304" s="34"/>
      <c r="AJ304" s="34"/>
    </row>
    <row r="305" spans="1:36" s="2" customFormat="1" ht="16.5" x14ac:dyDescent="0.3">
      <c r="A305" s="27">
        <v>46013</v>
      </c>
      <c r="B305" s="27">
        <v>46008</v>
      </c>
      <c r="C305" s="21" t="s">
        <v>49</v>
      </c>
      <c r="D305" s="57" t="s">
        <v>652</v>
      </c>
      <c r="E305" s="70" t="s">
        <v>653</v>
      </c>
      <c r="F305" s="89"/>
      <c r="G305" s="60"/>
      <c r="H305" s="60"/>
      <c r="I305" s="60"/>
      <c r="J305" s="60"/>
      <c r="K305" s="60"/>
      <c r="L305" s="61">
        <v>14.5</v>
      </c>
      <c r="M305" s="63"/>
      <c r="N305" s="61">
        <v>11.1</v>
      </c>
      <c r="O305" s="64"/>
      <c r="P305" s="64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59">
        <f t="shared" si="26"/>
        <v>46022</v>
      </c>
      <c r="AD305" s="57"/>
      <c r="AE305" s="60"/>
      <c r="AF305" s="59">
        <v>46020</v>
      </c>
      <c r="AG305" s="60"/>
      <c r="AH305" s="57"/>
      <c r="AI305" s="34"/>
      <c r="AJ305" s="34"/>
    </row>
    <row r="306" spans="1:36" s="2" customFormat="1" ht="16.5" x14ac:dyDescent="0.3">
      <c r="A306" s="27">
        <v>46013</v>
      </c>
      <c r="B306" s="27">
        <v>46008</v>
      </c>
      <c r="C306" s="21" t="s">
        <v>49</v>
      </c>
      <c r="D306" s="57" t="s">
        <v>654</v>
      </c>
      <c r="E306" s="70" t="s">
        <v>655</v>
      </c>
      <c r="F306" s="89"/>
      <c r="G306" s="60"/>
      <c r="H306" s="60"/>
      <c r="I306" s="60"/>
      <c r="J306" s="60"/>
      <c r="K306" s="60"/>
      <c r="L306" s="61">
        <v>14.6</v>
      </c>
      <c r="M306" s="63"/>
      <c r="N306" s="61">
        <v>10.199999999999999</v>
      </c>
      <c r="O306" s="64"/>
      <c r="P306" s="64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59">
        <f t="shared" si="26"/>
        <v>46022</v>
      </c>
      <c r="AD306" s="57"/>
      <c r="AE306" s="60"/>
      <c r="AF306" s="59">
        <v>46020</v>
      </c>
      <c r="AG306" s="60"/>
      <c r="AH306" s="57"/>
      <c r="AI306" s="34"/>
      <c r="AJ306" s="34"/>
    </row>
    <row r="307" spans="1:36" s="2" customFormat="1" ht="16.5" x14ac:dyDescent="0.3">
      <c r="A307" s="27">
        <v>46013</v>
      </c>
      <c r="B307" s="27">
        <v>46008</v>
      </c>
      <c r="C307" s="21" t="s">
        <v>49</v>
      </c>
      <c r="D307" s="57" t="s">
        <v>656</v>
      </c>
      <c r="E307" s="70" t="s">
        <v>657</v>
      </c>
      <c r="F307" s="89"/>
      <c r="G307" s="60"/>
      <c r="H307" s="60"/>
      <c r="I307" s="60"/>
      <c r="J307" s="60"/>
      <c r="K307" s="60"/>
      <c r="L307" s="61">
        <v>17.899999999999999</v>
      </c>
      <c r="M307" s="63"/>
      <c r="N307" s="61">
        <v>11.5</v>
      </c>
      <c r="O307" s="64"/>
      <c r="P307" s="64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59">
        <f t="shared" si="26"/>
        <v>46022</v>
      </c>
      <c r="AD307" s="57"/>
      <c r="AE307" s="60"/>
      <c r="AF307" s="59">
        <v>46020</v>
      </c>
      <c r="AG307" s="60"/>
      <c r="AH307" s="57"/>
      <c r="AI307" s="34"/>
      <c r="AJ307" s="34"/>
    </row>
    <row r="308" spans="1:36" s="2" customFormat="1" ht="16.5" x14ac:dyDescent="0.3">
      <c r="A308" s="27">
        <v>46013</v>
      </c>
      <c r="B308" s="27">
        <v>46008</v>
      </c>
      <c r="C308" s="21" t="s">
        <v>49</v>
      </c>
      <c r="D308" s="57" t="s">
        <v>658</v>
      </c>
      <c r="E308" s="70" t="s">
        <v>659</v>
      </c>
      <c r="F308" s="89"/>
      <c r="G308" s="60"/>
      <c r="H308" s="60"/>
      <c r="I308" s="60"/>
      <c r="J308" s="60"/>
      <c r="K308" s="60"/>
      <c r="L308" s="61">
        <v>26.5</v>
      </c>
      <c r="M308" s="63"/>
      <c r="N308" s="61">
        <v>5.4</v>
      </c>
      <c r="O308" s="64"/>
      <c r="P308" s="64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59">
        <f t="shared" si="26"/>
        <v>46022</v>
      </c>
      <c r="AD308" s="57"/>
      <c r="AE308" s="60"/>
      <c r="AF308" s="59">
        <v>46020</v>
      </c>
      <c r="AG308" s="60"/>
      <c r="AH308" s="57"/>
      <c r="AI308" s="34"/>
      <c r="AJ308" s="34"/>
    </row>
    <row r="309" spans="1:36" s="2" customFormat="1" ht="16.5" x14ac:dyDescent="0.3">
      <c r="A309" s="27">
        <v>46013</v>
      </c>
      <c r="B309" s="27">
        <v>46008</v>
      </c>
      <c r="C309" s="21" t="s">
        <v>49</v>
      </c>
      <c r="D309" s="57" t="s">
        <v>660</v>
      </c>
      <c r="E309" s="70" t="s">
        <v>829</v>
      </c>
      <c r="F309" s="89"/>
      <c r="G309" s="60"/>
      <c r="H309" s="60"/>
      <c r="I309" s="60"/>
      <c r="J309" s="60"/>
      <c r="K309" s="60"/>
      <c r="L309" s="61">
        <v>19.2</v>
      </c>
      <c r="M309" s="63"/>
      <c r="N309" s="61">
        <v>14.7</v>
      </c>
      <c r="O309" s="64"/>
      <c r="P309" s="64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59">
        <f t="shared" si="26"/>
        <v>46022</v>
      </c>
      <c r="AD309" s="57"/>
      <c r="AE309" s="60"/>
      <c r="AF309" s="59">
        <v>46020</v>
      </c>
      <c r="AG309" s="60"/>
      <c r="AH309" s="57"/>
      <c r="AI309" s="34"/>
      <c r="AJ309" s="34"/>
    </row>
    <row r="310" spans="1:36" s="2" customFormat="1" ht="16.5" x14ac:dyDescent="0.3">
      <c r="A310" s="27">
        <v>46013</v>
      </c>
      <c r="B310" s="27">
        <v>46008</v>
      </c>
      <c r="C310" s="21" t="s">
        <v>49</v>
      </c>
      <c r="D310" s="57" t="s">
        <v>661</v>
      </c>
      <c r="E310" s="70" t="s">
        <v>830</v>
      </c>
      <c r="F310" s="89"/>
      <c r="G310" s="60"/>
      <c r="H310" s="60"/>
      <c r="I310" s="60"/>
      <c r="J310" s="60"/>
      <c r="K310" s="60"/>
      <c r="L310" s="61">
        <v>19.2</v>
      </c>
      <c r="M310" s="63"/>
      <c r="N310" s="61">
        <v>15.6</v>
      </c>
      <c r="O310" s="64"/>
      <c r="P310" s="64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59">
        <f t="shared" si="26"/>
        <v>46022</v>
      </c>
      <c r="AD310" s="57"/>
      <c r="AE310" s="60"/>
      <c r="AF310" s="59">
        <v>46020</v>
      </c>
      <c r="AG310" s="60"/>
      <c r="AH310" s="57"/>
      <c r="AI310" s="34"/>
      <c r="AJ310" s="34"/>
    </row>
    <row r="311" spans="1:36" s="2" customFormat="1" ht="16.5" x14ac:dyDescent="0.3">
      <c r="A311" s="27">
        <v>46013</v>
      </c>
      <c r="B311" s="27">
        <v>46008</v>
      </c>
      <c r="C311" s="21" t="s">
        <v>49</v>
      </c>
      <c r="D311" s="57" t="s">
        <v>662</v>
      </c>
      <c r="E311" s="70" t="s">
        <v>831</v>
      </c>
      <c r="F311" s="89"/>
      <c r="G311" s="60"/>
      <c r="H311" s="60"/>
      <c r="I311" s="60"/>
      <c r="J311" s="60"/>
      <c r="K311" s="60"/>
      <c r="L311" s="61">
        <v>16.5</v>
      </c>
      <c r="M311" s="63"/>
      <c r="N311" s="61">
        <v>21.5</v>
      </c>
      <c r="O311" s="64"/>
      <c r="P311" s="64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59">
        <f t="shared" si="26"/>
        <v>46022</v>
      </c>
      <c r="AD311" s="57"/>
      <c r="AE311" s="60"/>
      <c r="AF311" s="59">
        <v>46020</v>
      </c>
      <c r="AG311" s="60"/>
      <c r="AH311" s="57"/>
      <c r="AI311" s="34"/>
      <c r="AJ311" s="34"/>
    </row>
    <row r="312" spans="1:36" s="2" customFormat="1" ht="16.5" x14ac:dyDescent="0.3">
      <c r="A312" s="27">
        <v>46013</v>
      </c>
      <c r="B312" s="27">
        <v>46008</v>
      </c>
      <c r="C312" s="21" t="s">
        <v>49</v>
      </c>
      <c r="D312" s="57" t="s">
        <v>663</v>
      </c>
      <c r="E312" s="70" t="s">
        <v>832</v>
      </c>
      <c r="F312" s="89"/>
      <c r="G312" s="60"/>
      <c r="H312" s="60"/>
      <c r="I312" s="60"/>
      <c r="J312" s="60"/>
      <c r="K312" s="60"/>
      <c r="L312" s="61">
        <v>12.5</v>
      </c>
      <c r="M312" s="63"/>
      <c r="N312" s="61">
        <v>10.7</v>
      </c>
      <c r="O312" s="64"/>
      <c r="P312" s="64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59">
        <f t="shared" si="26"/>
        <v>46022</v>
      </c>
      <c r="AD312" s="57"/>
      <c r="AE312" s="60"/>
      <c r="AF312" s="59">
        <v>46020</v>
      </c>
      <c r="AG312" s="60"/>
      <c r="AH312" s="57"/>
      <c r="AI312" s="34"/>
      <c r="AJ312" s="34"/>
    </row>
    <row r="313" spans="1:36" s="2" customFormat="1" ht="16.5" x14ac:dyDescent="0.3">
      <c r="A313" s="27">
        <v>46013</v>
      </c>
      <c r="B313" s="27">
        <v>46008</v>
      </c>
      <c r="C313" s="21" t="s">
        <v>49</v>
      </c>
      <c r="D313" s="57" t="s">
        <v>664</v>
      </c>
      <c r="E313" s="70" t="s">
        <v>833</v>
      </c>
      <c r="F313" s="89"/>
      <c r="G313" s="60"/>
      <c r="H313" s="60"/>
      <c r="I313" s="60"/>
      <c r="J313" s="60"/>
      <c r="K313" s="60"/>
      <c r="L313" s="61">
        <v>15.7</v>
      </c>
      <c r="M313" s="63"/>
      <c r="N313" s="61">
        <v>12.9</v>
      </c>
      <c r="O313" s="64"/>
      <c r="P313" s="64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59">
        <f t="shared" si="26"/>
        <v>46022</v>
      </c>
      <c r="AD313" s="57"/>
      <c r="AE313" s="60"/>
      <c r="AF313" s="59">
        <v>46020</v>
      </c>
      <c r="AG313" s="60"/>
      <c r="AH313" s="57"/>
      <c r="AI313" s="34"/>
      <c r="AJ313" s="34"/>
    </row>
    <row r="314" spans="1:36" s="2" customFormat="1" ht="16.5" x14ac:dyDescent="0.3">
      <c r="A314" s="27">
        <v>46013</v>
      </c>
      <c r="B314" s="27">
        <v>46008</v>
      </c>
      <c r="C314" s="21" t="s">
        <v>49</v>
      </c>
      <c r="D314" s="57" t="s">
        <v>665</v>
      </c>
      <c r="E314" s="70" t="s">
        <v>834</v>
      </c>
      <c r="F314" s="89"/>
      <c r="G314" s="60"/>
      <c r="H314" s="60"/>
      <c r="I314" s="60"/>
      <c r="J314" s="60"/>
      <c r="K314" s="60"/>
      <c r="L314" s="61">
        <v>22</v>
      </c>
      <c r="M314" s="63"/>
      <c r="N314" s="61">
        <v>13.4</v>
      </c>
      <c r="O314" s="64"/>
      <c r="P314" s="64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59">
        <f t="shared" si="26"/>
        <v>46022</v>
      </c>
      <c r="AD314" s="57"/>
      <c r="AE314" s="60"/>
      <c r="AF314" s="59">
        <v>46020</v>
      </c>
      <c r="AG314" s="60"/>
      <c r="AH314" s="57"/>
      <c r="AI314" s="34"/>
      <c r="AJ314" s="34"/>
    </row>
    <row r="315" spans="1:36" s="2" customFormat="1" ht="16.5" x14ac:dyDescent="0.3">
      <c r="A315" s="27">
        <v>46013</v>
      </c>
      <c r="B315" s="27">
        <v>46008</v>
      </c>
      <c r="C315" s="21" t="s">
        <v>49</v>
      </c>
      <c r="D315" s="57" t="s">
        <v>666</v>
      </c>
      <c r="E315" s="70" t="s">
        <v>835</v>
      </c>
      <c r="F315" s="89"/>
      <c r="G315" s="60"/>
      <c r="H315" s="60"/>
      <c r="I315" s="60"/>
      <c r="J315" s="60"/>
      <c r="K315" s="60"/>
      <c r="L315" s="61">
        <v>9.6</v>
      </c>
      <c r="M315" s="63"/>
      <c r="N315" s="61">
        <v>12.7</v>
      </c>
      <c r="O315" s="64"/>
      <c r="P315" s="64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59">
        <f t="shared" si="26"/>
        <v>46022</v>
      </c>
      <c r="AD315" s="57"/>
      <c r="AE315" s="60"/>
      <c r="AF315" s="59">
        <v>46020</v>
      </c>
      <c r="AG315" s="60"/>
      <c r="AH315" s="57"/>
      <c r="AI315" s="34"/>
      <c r="AJ315" s="34"/>
    </row>
    <row r="316" spans="1:36" s="2" customFormat="1" ht="16.5" x14ac:dyDescent="0.3">
      <c r="A316" s="27">
        <v>46013</v>
      </c>
      <c r="B316" s="27">
        <v>46008</v>
      </c>
      <c r="C316" s="21" t="s">
        <v>49</v>
      </c>
      <c r="D316" s="57" t="s">
        <v>667</v>
      </c>
      <c r="E316" s="70" t="s">
        <v>836</v>
      </c>
      <c r="F316" s="89"/>
      <c r="G316" s="60"/>
      <c r="H316" s="60"/>
      <c r="I316" s="60"/>
      <c r="J316" s="60"/>
      <c r="K316" s="60"/>
      <c r="L316" s="61">
        <v>10</v>
      </c>
      <c r="M316" s="63"/>
      <c r="N316" s="61">
        <v>13.8</v>
      </c>
      <c r="O316" s="64"/>
      <c r="P316" s="64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59">
        <f t="shared" si="26"/>
        <v>46022</v>
      </c>
      <c r="AD316" s="57"/>
      <c r="AE316" s="60"/>
      <c r="AF316" s="59">
        <v>46020</v>
      </c>
      <c r="AG316" s="60"/>
      <c r="AH316" s="57"/>
      <c r="AI316" s="34"/>
      <c r="AJ316" s="34"/>
    </row>
    <row r="317" spans="1:36" s="2" customFormat="1" ht="16.5" x14ac:dyDescent="0.3">
      <c r="A317" s="27">
        <v>46013</v>
      </c>
      <c r="B317" s="27">
        <v>46008</v>
      </c>
      <c r="C317" s="21" t="s">
        <v>49</v>
      </c>
      <c r="D317" s="57" t="s">
        <v>668</v>
      </c>
      <c r="E317" s="70" t="s">
        <v>837</v>
      </c>
      <c r="F317" s="89"/>
      <c r="G317" s="60"/>
      <c r="H317" s="60"/>
      <c r="I317" s="60"/>
      <c r="J317" s="60"/>
      <c r="K317" s="60"/>
      <c r="L317" s="61">
        <v>9.1999999999999993</v>
      </c>
      <c r="M317" s="63"/>
      <c r="N317" s="61">
        <v>10.8</v>
      </c>
      <c r="O317" s="64"/>
      <c r="P317" s="64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59">
        <f t="shared" si="26"/>
        <v>46022</v>
      </c>
      <c r="AD317" s="57"/>
      <c r="AE317" s="60"/>
      <c r="AF317" s="59">
        <v>46020</v>
      </c>
      <c r="AG317" s="60"/>
      <c r="AH317" s="57"/>
      <c r="AI317" s="34"/>
      <c r="AJ317" s="34"/>
    </row>
    <row r="318" spans="1:36" s="2" customFormat="1" ht="16.5" x14ac:dyDescent="0.3">
      <c r="A318" s="27">
        <v>46013</v>
      </c>
      <c r="B318" s="27">
        <v>46008</v>
      </c>
      <c r="C318" s="21" t="s">
        <v>49</v>
      </c>
      <c r="D318" s="57" t="s">
        <v>669</v>
      </c>
      <c r="E318" s="70" t="s">
        <v>838</v>
      </c>
      <c r="F318" s="89"/>
      <c r="G318" s="60"/>
      <c r="H318" s="60"/>
      <c r="I318" s="60"/>
      <c r="J318" s="60"/>
      <c r="K318" s="60"/>
      <c r="L318" s="61">
        <v>10.9</v>
      </c>
      <c r="M318" s="63"/>
      <c r="N318" s="61">
        <v>11.2</v>
      </c>
      <c r="O318" s="64"/>
      <c r="P318" s="64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59">
        <f t="shared" si="26"/>
        <v>46022</v>
      </c>
      <c r="AD318" s="57"/>
      <c r="AE318" s="60"/>
      <c r="AF318" s="59">
        <v>46020</v>
      </c>
      <c r="AG318" s="60"/>
      <c r="AH318" s="57"/>
      <c r="AI318" s="34"/>
      <c r="AJ318" s="34"/>
    </row>
    <row r="319" spans="1:36" s="2" customFormat="1" ht="16.5" x14ac:dyDescent="0.3">
      <c r="A319" s="27">
        <v>46013</v>
      </c>
      <c r="B319" s="27">
        <v>46008</v>
      </c>
      <c r="C319" s="21" t="s">
        <v>49</v>
      </c>
      <c r="D319" s="57" t="s">
        <v>670</v>
      </c>
      <c r="E319" s="70" t="s">
        <v>839</v>
      </c>
      <c r="F319" s="89"/>
      <c r="G319" s="60"/>
      <c r="H319" s="60"/>
      <c r="I319" s="60"/>
      <c r="J319" s="60"/>
      <c r="K319" s="60"/>
      <c r="L319" s="61">
        <v>12.9</v>
      </c>
      <c r="M319" s="63"/>
      <c r="N319" s="61">
        <v>10.5</v>
      </c>
      <c r="O319" s="64"/>
      <c r="P319" s="64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59">
        <f t="shared" si="26"/>
        <v>46022</v>
      </c>
      <c r="AD319" s="57"/>
      <c r="AE319" s="60"/>
      <c r="AF319" s="59">
        <v>46020</v>
      </c>
      <c r="AG319" s="60"/>
      <c r="AH319" s="57"/>
      <c r="AI319" s="34"/>
      <c r="AJ319" s="34"/>
    </row>
    <row r="320" spans="1:36" s="2" customFormat="1" ht="16.5" x14ac:dyDescent="0.3">
      <c r="A320" s="27">
        <v>46013</v>
      </c>
      <c r="B320" s="27">
        <v>46008</v>
      </c>
      <c r="C320" s="21" t="s">
        <v>49</v>
      </c>
      <c r="D320" s="57" t="s">
        <v>671</v>
      </c>
      <c r="E320" s="70" t="s">
        <v>840</v>
      </c>
      <c r="F320" s="89"/>
      <c r="G320" s="60"/>
      <c r="H320" s="60"/>
      <c r="I320" s="60"/>
      <c r="J320" s="60"/>
      <c r="K320" s="60"/>
      <c r="L320" s="61">
        <v>10.6</v>
      </c>
      <c r="M320" s="63"/>
      <c r="N320" s="61">
        <v>10.6</v>
      </c>
      <c r="O320" s="64"/>
      <c r="P320" s="64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59">
        <f t="shared" si="26"/>
        <v>46022</v>
      </c>
      <c r="AD320" s="57"/>
      <c r="AE320" s="60"/>
      <c r="AF320" s="59">
        <v>46020</v>
      </c>
      <c r="AG320" s="60"/>
      <c r="AH320" s="57"/>
      <c r="AI320" s="34"/>
      <c r="AJ320" s="34"/>
    </row>
    <row r="321" spans="1:36" s="2" customFormat="1" ht="16.5" x14ac:dyDescent="0.3">
      <c r="A321" s="27">
        <v>46013</v>
      </c>
      <c r="B321" s="27">
        <v>46008</v>
      </c>
      <c r="C321" s="21" t="s">
        <v>49</v>
      </c>
      <c r="D321" s="57" t="s">
        <v>672</v>
      </c>
      <c r="E321" s="70" t="s">
        <v>841</v>
      </c>
      <c r="F321" s="89"/>
      <c r="G321" s="60"/>
      <c r="H321" s="60"/>
      <c r="I321" s="60"/>
      <c r="J321" s="60"/>
      <c r="K321" s="60"/>
      <c r="L321" s="61">
        <v>11.5</v>
      </c>
      <c r="M321" s="63"/>
      <c r="N321" s="61">
        <v>11.5</v>
      </c>
      <c r="O321" s="64"/>
      <c r="P321" s="64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59">
        <f t="shared" si="26"/>
        <v>46022</v>
      </c>
      <c r="AD321" s="57"/>
      <c r="AE321" s="60"/>
      <c r="AF321" s="59">
        <v>46020</v>
      </c>
      <c r="AG321" s="60"/>
      <c r="AH321" s="57"/>
      <c r="AI321" s="34"/>
      <c r="AJ321" s="34"/>
    </row>
    <row r="322" spans="1:36" s="2" customFormat="1" ht="16.5" x14ac:dyDescent="0.3">
      <c r="A322" s="27">
        <v>46013</v>
      </c>
      <c r="B322" s="27">
        <v>46008</v>
      </c>
      <c r="C322" s="21" t="s">
        <v>49</v>
      </c>
      <c r="D322" s="57" t="s">
        <v>844</v>
      </c>
      <c r="E322" s="70" t="s">
        <v>845</v>
      </c>
      <c r="F322" s="89"/>
      <c r="G322" s="60"/>
      <c r="H322" s="60"/>
      <c r="I322" s="60"/>
      <c r="J322" s="60"/>
      <c r="K322" s="60"/>
      <c r="L322" s="61">
        <v>13.8</v>
      </c>
      <c r="M322" s="63"/>
      <c r="N322" s="61">
        <v>11.5</v>
      </c>
      <c r="O322" s="64"/>
      <c r="P322" s="64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59">
        <f t="shared" ref="AC322" si="27">B322+14</f>
        <v>46022</v>
      </c>
      <c r="AD322" s="57"/>
      <c r="AE322" s="60"/>
      <c r="AF322" s="59">
        <v>46020</v>
      </c>
      <c r="AG322" s="60"/>
      <c r="AH322" s="57"/>
      <c r="AI322" s="34"/>
      <c r="AJ322" s="34"/>
    </row>
    <row r="323" spans="1:36" s="2" customFormat="1" ht="16.5" x14ac:dyDescent="0.3">
      <c r="A323" s="27">
        <v>46013</v>
      </c>
      <c r="B323" s="27">
        <v>46008</v>
      </c>
      <c r="C323" s="21" t="s">
        <v>49</v>
      </c>
      <c r="D323" s="57" t="s">
        <v>673</v>
      </c>
      <c r="E323" s="70" t="s">
        <v>842</v>
      </c>
      <c r="F323" s="89"/>
      <c r="G323" s="60"/>
      <c r="H323" s="60"/>
      <c r="I323" s="60"/>
      <c r="J323" s="60"/>
      <c r="K323" s="60"/>
      <c r="L323" s="61">
        <v>18.7</v>
      </c>
      <c r="M323" s="63"/>
      <c r="N323" s="61">
        <v>11.5</v>
      </c>
      <c r="O323" s="64"/>
      <c r="P323" s="64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59">
        <f t="shared" si="26"/>
        <v>46022</v>
      </c>
      <c r="AD323" s="57"/>
      <c r="AE323" s="60"/>
      <c r="AF323" s="59">
        <v>46020</v>
      </c>
      <c r="AG323" s="60"/>
      <c r="AH323" s="57"/>
      <c r="AI323" s="34"/>
      <c r="AJ323" s="34"/>
    </row>
    <row r="324" spans="1:36" s="2" customFormat="1" ht="16.5" x14ac:dyDescent="0.3">
      <c r="A324" s="27">
        <v>46013</v>
      </c>
      <c r="B324" s="27">
        <v>46008</v>
      </c>
      <c r="C324" s="21" t="s">
        <v>49</v>
      </c>
      <c r="D324" s="57" t="s">
        <v>674</v>
      </c>
      <c r="E324" s="70" t="s">
        <v>843</v>
      </c>
      <c r="F324" s="89"/>
      <c r="G324" s="60"/>
      <c r="H324" s="60"/>
      <c r="I324" s="60"/>
      <c r="J324" s="60"/>
      <c r="K324" s="60"/>
      <c r="L324" s="61">
        <v>7.1</v>
      </c>
      <c r="M324" s="63"/>
      <c r="N324" s="61">
        <v>7.7</v>
      </c>
      <c r="O324" s="64"/>
      <c r="P324" s="64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59">
        <f t="shared" si="26"/>
        <v>46022</v>
      </c>
      <c r="AD324" s="57"/>
      <c r="AE324" s="60"/>
      <c r="AF324" s="59">
        <v>46020</v>
      </c>
      <c r="AG324" s="60"/>
      <c r="AH324" s="57"/>
      <c r="AI324" s="34"/>
      <c r="AJ324" s="34"/>
    </row>
    <row r="325" spans="1:36" s="2" customFormat="1" ht="16.5" x14ac:dyDescent="0.3">
      <c r="A325" s="27">
        <v>46013</v>
      </c>
      <c r="B325" s="27">
        <v>46008</v>
      </c>
      <c r="C325" s="21" t="s">
        <v>49</v>
      </c>
      <c r="D325" s="57" t="s">
        <v>675</v>
      </c>
      <c r="E325" s="70" t="s">
        <v>846</v>
      </c>
      <c r="F325" s="89"/>
      <c r="G325" s="60"/>
      <c r="H325" s="60"/>
      <c r="I325" s="60"/>
      <c r="J325" s="60"/>
      <c r="K325" s="60"/>
      <c r="L325" s="61">
        <v>12.3</v>
      </c>
      <c r="M325" s="63"/>
      <c r="N325" s="61">
        <v>12</v>
      </c>
      <c r="O325" s="64"/>
      <c r="P325" s="64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59">
        <f t="shared" si="26"/>
        <v>46022</v>
      </c>
      <c r="AD325" s="57"/>
      <c r="AE325" s="60"/>
      <c r="AF325" s="59">
        <v>46020</v>
      </c>
      <c r="AG325" s="60"/>
      <c r="AH325" s="57"/>
      <c r="AI325" s="34"/>
      <c r="AJ325" s="34"/>
    </row>
    <row r="326" spans="1:36" s="2" customFormat="1" ht="16.5" x14ac:dyDescent="0.3">
      <c r="A326" s="27">
        <v>46013</v>
      </c>
      <c r="B326" s="27">
        <v>46008</v>
      </c>
      <c r="C326" s="21" t="s">
        <v>49</v>
      </c>
      <c r="D326" s="57" t="s">
        <v>676</v>
      </c>
      <c r="E326" s="70" t="s">
        <v>847</v>
      </c>
      <c r="F326" s="89"/>
      <c r="G326" s="60"/>
      <c r="H326" s="60"/>
      <c r="I326" s="60"/>
      <c r="J326" s="60"/>
      <c r="K326" s="60"/>
      <c r="L326" s="61">
        <v>12.5</v>
      </c>
      <c r="M326" s="63"/>
      <c r="N326" s="61">
        <v>12.2</v>
      </c>
      <c r="O326" s="64"/>
      <c r="P326" s="64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59">
        <f t="shared" si="26"/>
        <v>46022</v>
      </c>
      <c r="AD326" s="57"/>
      <c r="AE326" s="60"/>
      <c r="AF326" s="59">
        <v>46020</v>
      </c>
      <c r="AG326" s="60"/>
      <c r="AH326" s="57"/>
      <c r="AI326" s="34"/>
      <c r="AJ326" s="34"/>
    </row>
    <row r="327" spans="1:36" s="2" customFormat="1" ht="16.5" x14ac:dyDescent="0.3">
      <c r="A327" s="27">
        <v>46013</v>
      </c>
      <c r="B327" s="27">
        <v>46008</v>
      </c>
      <c r="C327" s="21" t="s">
        <v>49</v>
      </c>
      <c r="D327" s="57" t="s">
        <v>677</v>
      </c>
      <c r="E327" s="70" t="s">
        <v>848</v>
      </c>
      <c r="F327" s="89"/>
      <c r="G327" s="60"/>
      <c r="H327" s="60"/>
      <c r="I327" s="60"/>
      <c r="J327" s="60"/>
      <c r="K327" s="60"/>
      <c r="L327" s="61">
        <v>11.4</v>
      </c>
      <c r="M327" s="63"/>
      <c r="N327" s="61">
        <v>11.1</v>
      </c>
      <c r="O327" s="64"/>
      <c r="P327" s="64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59">
        <f t="shared" si="26"/>
        <v>46022</v>
      </c>
      <c r="AD327" s="57"/>
      <c r="AE327" s="60"/>
      <c r="AF327" s="59">
        <v>46020</v>
      </c>
      <c r="AG327" s="60"/>
      <c r="AH327" s="57"/>
      <c r="AI327" s="34"/>
      <c r="AJ327" s="34"/>
    </row>
    <row r="328" spans="1:36" s="2" customFormat="1" ht="16.5" x14ac:dyDescent="0.3">
      <c r="A328" s="27">
        <v>46013</v>
      </c>
      <c r="B328" s="27">
        <v>46008</v>
      </c>
      <c r="C328" s="21" t="s">
        <v>49</v>
      </c>
      <c r="D328" s="57" t="s">
        <v>678</v>
      </c>
      <c r="E328" s="70" t="s">
        <v>849</v>
      </c>
      <c r="F328" s="89"/>
      <c r="G328" s="60"/>
      <c r="H328" s="60"/>
      <c r="I328" s="60"/>
      <c r="J328" s="60"/>
      <c r="K328" s="60"/>
      <c r="L328" s="61">
        <v>13.3</v>
      </c>
      <c r="M328" s="63"/>
      <c r="N328" s="61">
        <v>11.5</v>
      </c>
      <c r="O328" s="64"/>
      <c r="P328" s="64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59">
        <f t="shared" si="26"/>
        <v>46022</v>
      </c>
      <c r="AD328" s="57"/>
      <c r="AE328" s="60"/>
      <c r="AF328" s="59">
        <v>46020</v>
      </c>
      <c r="AG328" s="60"/>
      <c r="AH328" s="57"/>
      <c r="AI328" s="34"/>
      <c r="AJ328" s="34"/>
    </row>
    <row r="329" spans="1:36" s="2" customFormat="1" ht="16.5" x14ac:dyDescent="0.3">
      <c r="A329" s="27">
        <v>46013</v>
      </c>
      <c r="B329" s="27">
        <v>46008</v>
      </c>
      <c r="C329" s="21" t="s">
        <v>49</v>
      </c>
      <c r="D329" s="57" t="s">
        <v>679</v>
      </c>
      <c r="E329" s="70" t="s">
        <v>850</v>
      </c>
      <c r="F329" s="89"/>
      <c r="G329" s="60"/>
      <c r="H329" s="60"/>
      <c r="I329" s="60"/>
      <c r="J329" s="60"/>
      <c r="K329" s="60"/>
      <c r="L329" s="61">
        <v>12.7</v>
      </c>
      <c r="M329" s="63"/>
      <c r="N329" s="61">
        <v>11.2</v>
      </c>
      <c r="O329" s="64"/>
      <c r="P329" s="64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59">
        <f t="shared" si="26"/>
        <v>46022</v>
      </c>
      <c r="AD329" s="57"/>
      <c r="AE329" s="60"/>
      <c r="AF329" s="59">
        <v>46020</v>
      </c>
      <c r="AG329" s="60"/>
      <c r="AH329" s="57"/>
      <c r="AI329" s="34"/>
      <c r="AJ329" s="34"/>
    </row>
    <row r="330" spans="1:36" s="2" customFormat="1" ht="16.5" x14ac:dyDescent="0.3">
      <c r="A330" s="27">
        <v>46013</v>
      </c>
      <c r="B330" s="27">
        <v>46008</v>
      </c>
      <c r="C330" s="21" t="s">
        <v>49</v>
      </c>
      <c r="D330" s="57" t="s">
        <v>680</v>
      </c>
      <c r="E330" s="70" t="s">
        <v>851</v>
      </c>
      <c r="F330" s="89"/>
      <c r="G330" s="60"/>
      <c r="H330" s="60"/>
      <c r="I330" s="60"/>
      <c r="J330" s="60"/>
      <c r="K330" s="60"/>
      <c r="L330" s="61">
        <v>14.1</v>
      </c>
      <c r="M330" s="63"/>
      <c r="N330" s="61">
        <v>10.6</v>
      </c>
      <c r="O330" s="64"/>
      <c r="P330" s="64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59">
        <f t="shared" si="26"/>
        <v>46022</v>
      </c>
      <c r="AD330" s="57"/>
      <c r="AE330" s="60"/>
      <c r="AF330" s="59">
        <v>46020</v>
      </c>
      <c r="AG330" s="60"/>
      <c r="AH330" s="57"/>
      <c r="AI330" s="34"/>
      <c r="AJ330" s="34"/>
    </row>
    <row r="331" spans="1:36" s="2" customFormat="1" ht="16.5" x14ac:dyDescent="0.3">
      <c r="A331" s="27">
        <v>46013</v>
      </c>
      <c r="B331" s="27">
        <v>46008</v>
      </c>
      <c r="C331" s="21" t="s">
        <v>49</v>
      </c>
      <c r="D331" s="57" t="s">
        <v>681</v>
      </c>
      <c r="E331" s="70" t="s">
        <v>852</v>
      </c>
      <c r="F331" s="89"/>
      <c r="G331" s="60"/>
      <c r="H331" s="60"/>
      <c r="I331" s="60"/>
      <c r="J331" s="60"/>
      <c r="K331" s="60"/>
      <c r="L331" s="61">
        <v>7</v>
      </c>
      <c r="M331" s="63"/>
      <c r="N331" s="61">
        <v>6.5</v>
      </c>
      <c r="O331" s="64"/>
      <c r="P331" s="64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59">
        <f t="shared" si="26"/>
        <v>46022</v>
      </c>
      <c r="AD331" s="57"/>
      <c r="AE331" s="60"/>
      <c r="AF331" s="59">
        <v>46020</v>
      </c>
      <c r="AG331" s="60"/>
      <c r="AH331" s="57"/>
      <c r="AI331" s="34"/>
      <c r="AJ331" s="34"/>
    </row>
    <row r="332" spans="1:36" s="2" customFormat="1" ht="16.5" x14ac:dyDescent="0.3">
      <c r="A332" s="27">
        <v>46013</v>
      </c>
      <c r="B332" s="27">
        <v>46008</v>
      </c>
      <c r="C332" s="21" t="s">
        <v>49</v>
      </c>
      <c r="D332" s="68" t="s">
        <v>682</v>
      </c>
      <c r="E332" s="86" t="s">
        <v>853</v>
      </c>
      <c r="F332" s="89"/>
      <c r="G332" s="60"/>
      <c r="H332" s="60"/>
      <c r="I332" s="60"/>
      <c r="J332" s="60"/>
      <c r="K332" s="60"/>
      <c r="L332" s="61">
        <v>12.8</v>
      </c>
      <c r="M332" s="63"/>
      <c r="N332" s="61">
        <v>10.9</v>
      </c>
      <c r="O332" s="64"/>
      <c r="P332" s="64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59">
        <f t="shared" si="26"/>
        <v>46022</v>
      </c>
      <c r="AD332" s="57"/>
      <c r="AE332" s="60"/>
      <c r="AF332" s="59">
        <v>46020</v>
      </c>
      <c r="AG332" s="60"/>
      <c r="AH332" s="68" t="s">
        <v>598</v>
      </c>
      <c r="AI332" s="34"/>
      <c r="AJ332" s="34"/>
    </row>
    <row r="333" spans="1:36" s="2" customFormat="1" ht="16.5" x14ac:dyDescent="0.3">
      <c r="A333" s="27">
        <v>46013</v>
      </c>
      <c r="B333" s="27">
        <v>46008</v>
      </c>
      <c r="C333" s="21" t="s">
        <v>49</v>
      </c>
      <c r="D333" s="68" t="s">
        <v>683</v>
      </c>
      <c r="E333" s="86" t="s">
        <v>854</v>
      </c>
      <c r="F333" s="89"/>
      <c r="G333" s="60"/>
      <c r="H333" s="60"/>
      <c r="I333" s="60"/>
      <c r="J333" s="60"/>
      <c r="K333" s="60"/>
      <c r="L333" s="61">
        <v>9.4</v>
      </c>
      <c r="M333" s="63"/>
      <c r="N333" s="61">
        <v>10.3</v>
      </c>
      <c r="O333" s="64"/>
      <c r="P333" s="64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59">
        <f t="shared" si="26"/>
        <v>46022</v>
      </c>
      <c r="AD333" s="57"/>
      <c r="AE333" s="60"/>
      <c r="AF333" s="59">
        <v>46020</v>
      </c>
      <c r="AG333" s="60"/>
      <c r="AH333" s="68" t="s">
        <v>598</v>
      </c>
      <c r="AI333" s="34"/>
      <c r="AJ333" s="34"/>
    </row>
    <row r="334" spans="1:36" s="2" customFormat="1" ht="16.5" x14ac:dyDescent="0.3">
      <c r="A334" s="27">
        <v>46013</v>
      </c>
      <c r="B334" s="27">
        <v>46008</v>
      </c>
      <c r="C334" s="21" t="s">
        <v>49</v>
      </c>
      <c r="D334" s="68" t="s">
        <v>684</v>
      </c>
      <c r="E334" s="86" t="s">
        <v>855</v>
      </c>
      <c r="F334" s="89"/>
      <c r="G334" s="60"/>
      <c r="H334" s="60"/>
      <c r="I334" s="60"/>
      <c r="J334" s="60"/>
      <c r="K334" s="60"/>
      <c r="L334" s="61">
        <v>9.9</v>
      </c>
      <c r="M334" s="63"/>
      <c r="N334" s="61">
        <v>10.7</v>
      </c>
      <c r="O334" s="64"/>
      <c r="P334" s="64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59">
        <f t="shared" si="26"/>
        <v>46022</v>
      </c>
      <c r="AD334" s="57"/>
      <c r="AE334" s="60"/>
      <c r="AF334" s="59">
        <v>46020</v>
      </c>
      <c r="AG334" s="60"/>
      <c r="AH334" s="68" t="s">
        <v>598</v>
      </c>
      <c r="AI334" s="34"/>
      <c r="AJ334" s="34"/>
    </row>
    <row r="335" spans="1:36" s="2" customFormat="1" ht="16.5" x14ac:dyDescent="0.3">
      <c r="A335" s="27">
        <v>46013</v>
      </c>
      <c r="B335" s="27">
        <v>46008</v>
      </c>
      <c r="C335" s="21" t="s">
        <v>49</v>
      </c>
      <c r="D335" s="68" t="s">
        <v>685</v>
      </c>
      <c r="E335" s="86" t="s">
        <v>856</v>
      </c>
      <c r="F335" s="89"/>
      <c r="G335" s="60"/>
      <c r="H335" s="60"/>
      <c r="I335" s="60"/>
      <c r="J335" s="60"/>
      <c r="K335" s="60"/>
      <c r="L335" s="61">
        <v>15.6</v>
      </c>
      <c r="M335" s="63"/>
      <c r="N335" s="61">
        <v>11.9</v>
      </c>
      <c r="O335" s="64"/>
      <c r="P335" s="64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59">
        <f t="shared" si="26"/>
        <v>46022</v>
      </c>
      <c r="AD335" s="57"/>
      <c r="AE335" s="60"/>
      <c r="AF335" s="59">
        <v>46020</v>
      </c>
      <c r="AG335" s="60"/>
      <c r="AH335" s="68" t="s">
        <v>598</v>
      </c>
      <c r="AI335" s="34"/>
      <c r="AJ335" s="34"/>
    </row>
    <row r="336" spans="1:36" s="2" customFormat="1" ht="16.5" x14ac:dyDescent="0.3">
      <c r="A336" s="27">
        <v>46013</v>
      </c>
      <c r="B336" s="27">
        <v>46008</v>
      </c>
      <c r="C336" s="21" t="s">
        <v>49</v>
      </c>
      <c r="D336" s="68" t="s">
        <v>686</v>
      </c>
      <c r="E336" s="86" t="s">
        <v>857</v>
      </c>
      <c r="F336" s="89"/>
      <c r="G336" s="60"/>
      <c r="H336" s="60"/>
      <c r="I336" s="60"/>
      <c r="J336" s="60"/>
      <c r="K336" s="60"/>
      <c r="L336" s="61">
        <v>15.6</v>
      </c>
      <c r="M336" s="63"/>
      <c r="N336" s="61">
        <v>11.5</v>
      </c>
      <c r="O336" s="64"/>
      <c r="P336" s="64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59">
        <f t="shared" si="26"/>
        <v>46022</v>
      </c>
      <c r="AD336" s="57"/>
      <c r="AE336" s="60"/>
      <c r="AF336" s="59">
        <v>46020</v>
      </c>
      <c r="AG336" s="60"/>
      <c r="AH336" s="68" t="s">
        <v>598</v>
      </c>
      <c r="AI336" s="34"/>
      <c r="AJ336" s="34"/>
    </row>
    <row r="337" spans="1:36" s="2" customFormat="1" ht="16.5" x14ac:dyDescent="0.3">
      <c r="A337" s="27">
        <v>46013</v>
      </c>
      <c r="B337" s="27">
        <v>46008</v>
      </c>
      <c r="C337" s="21" t="s">
        <v>49</v>
      </c>
      <c r="D337" s="68" t="s">
        <v>687</v>
      </c>
      <c r="E337" s="86" t="s">
        <v>858</v>
      </c>
      <c r="F337" s="89"/>
      <c r="G337" s="60"/>
      <c r="H337" s="60"/>
      <c r="I337" s="60"/>
      <c r="J337" s="60"/>
      <c r="K337" s="60"/>
      <c r="L337" s="61">
        <v>12.8</v>
      </c>
      <c r="M337" s="63"/>
      <c r="N337" s="61">
        <v>11.1</v>
      </c>
      <c r="O337" s="64"/>
      <c r="P337" s="64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59">
        <f t="shared" si="26"/>
        <v>46022</v>
      </c>
      <c r="AD337" s="57"/>
      <c r="AE337" s="60"/>
      <c r="AF337" s="59">
        <v>46020</v>
      </c>
      <c r="AG337" s="60"/>
      <c r="AH337" s="68" t="s">
        <v>598</v>
      </c>
      <c r="AI337" s="34"/>
      <c r="AJ337" s="34"/>
    </row>
    <row r="338" spans="1:36" s="2" customFormat="1" ht="16.5" x14ac:dyDescent="0.3">
      <c r="A338" s="27">
        <v>46013</v>
      </c>
      <c r="B338" s="27">
        <v>46008</v>
      </c>
      <c r="C338" s="21" t="s">
        <v>49</v>
      </c>
      <c r="D338" s="57" t="s">
        <v>688</v>
      </c>
      <c r="E338" s="70" t="s">
        <v>859</v>
      </c>
      <c r="F338" s="89"/>
      <c r="G338" s="60"/>
      <c r="H338" s="60"/>
      <c r="I338" s="60"/>
      <c r="J338" s="60"/>
      <c r="K338" s="60"/>
      <c r="L338" s="61">
        <v>11.4</v>
      </c>
      <c r="M338" s="63"/>
      <c r="N338" s="61">
        <v>18.5</v>
      </c>
      <c r="O338" s="64"/>
      <c r="P338" s="64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59">
        <f t="shared" si="26"/>
        <v>46022</v>
      </c>
      <c r="AD338" s="57"/>
      <c r="AE338" s="60"/>
      <c r="AF338" s="59">
        <v>46020</v>
      </c>
      <c r="AG338" s="60"/>
      <c r="AH338" s="57"/>
      <c r="AI338" s="34"/>
      <c r="AJ338" s="34"/>
    </row>
    <row r="339" spans="1:36" s="2" customFormat="1" ht="16.5" x14ac:dyDescent="0.3">
      <c r="A339" s="27">
        <v>46013</v>
      </c>
      <c r="B339" s="27">
        <v>46008</v>
      </c>
      <c r="C339" s="21" t="s">
        <v>49</v>
      </c>
      <c r="D339" s="57" t="s">
        <v>689</v>
      </c>
      <c r="E339" s="70" t="s">
        <v>860</v>
      </c>
      <c r="F339" s="89"/>
      <c r="G339" s="60"/>
      <c r="H339" s="60"/>
      <c r="I339" s="60"/>
      <c r="J339" s="60"/>
      <c r="K339" s="60"/>
      <c r="L339" s="61">
        <v>8.3000000000000007</v>
      </c>
      <c r="M339" s="63"/>
      <c r="N339" s="61">
        <v>12.2</v>
      </c>
      <c r="O339" s="64"/>
      <c r="P339" s="64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59">
        <f t="shared" si="26"/>
        <v>46022</v>
      </c>
      <c r="AD339" s="57"/>
      <c r="AE339" s="60"/>
      <c r="AF339" s="59">
        <v>46020</v>
      </c>
      <c r="AG339" s="60"/>
      <c r="AH339" s="57"/>
      <c r="AI339" s="34"/>
      <c r="AJ339" s="34"/>
    </row>
    <row r="340" spans="1:36" s="2" customFormat="1" ht="16.5" x14ac:dyDescent="0.3">
      <c r="A340" s="27">
        <v>46013</v>
      </c>
      <c r="B340" s="27">
        <v>46008</v>
      </c>
      <c r="C340" s="21" t="s">
        <v>49</v>
      </c>
      <c r="D340" s="57" t="s">
        <v>690</v>
      </c>
      <c r="E340" s="70" t="s">
        <v>861</v>
      </c>
      <c r="F340" s="89"/>
      <c r="G340" s="60"/>
      <c r="H340" s="60"/>
      <c r="I340" s="60"/>
      <c r="J340" s="60"/>
      <c r="K340" s="60"/>
      <c r="L340" s="61">
        <v>9.6999999999999993</v>
      </c>
      <c r="M340" s="63"/>
      <c r="N340" s="61">
        <v>11.8</v>
      </c>
      <c r="O340" s="64"/>
      <c r="P340" s="64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59">
        <f t="shared" si="26"/>
        <v>46022</v>
      </c>
      <c r="AD340" s="57"/>
      <c r="AE340" s="60"/>
      <c r="AF340" s="59">
        <v>46020</v>
      </c>
      <c r="AG340" s="60"/>
      <c r="AH340" s="57"/>
      <c r="AI340" s="34"/>
      <c r="AJ340" s="34"/>
    </row>
    <row r="341" spans="1:36" s="2" customFormat="1" ht="16.5" x14ac:dyDescent="0.3">
      <c r="A341" s="27">
        <v>46013</v>
      </c>
      <c r="B341" s="27">
        <v>46008</v>
      </c>
      <c r="C341" s="21" t="s">
        <v>49</v>
      </c>
      <c r="D341" s="57" t="s">
        <v>691</v>
      </c>
      <c r="E341" s="70" t="s">
        <v>862</v>
      </c>
      <c r="F341" s="89"/>
      <c r="G341" s="60"/>
      <c r="H341" s="60"/>
      <c r="I341" s="60"/>
      <c r="J341" s="60"/>
      <c r="K341" s="60"/>
      <c r="L341" s="61">
        <v>11.9</v>
      </c>
      <c r="M341" s="63"/>
      <c r="N341" s="61">
        <v>12.1</v>
      </c>
      <c r="O341" s="64"/>
      <c r="P341" s="64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59">
        <f t="shared" si="26"/>
        <v>46022</v>
      </c>
      <c r="AD341" s="57"/>
      <c r="AE341" s="60"/>
      <c r="AF341" s="59">
        <v>46020</v>
      </c>
      <c r="AG341" s="60"/>
      <c r="AH341" s="57"/>
      <c r="AI341" s="34"/>
      <c r="AJ341" s="34"/>
    </row>
    <row r="342" spans="1:36" s="2" customFormat="1" ht="16.5" x14ac:dyDescent="0.3">
      <c r="A342" s="27">
        <v>46013</v>
      </c>
      <c r="B342" s="27">
        <v>46008</v>
      </c>
      <c r="C342" s="21" t="s">
        <v>49</v>
      </c>
      <c r="D342" s="57" t="s">
        <v>692</v>
      </c>
      <c r="E342" s="70" t="s">
        <v>863</v>
      </c>
      <c r="F342" s="89"/>
      <c r="G342" s="60"/>
      <c r="H342" s="60"/>
      <c r="I342" s="60"/>
      <c r="J342" s="60"/>
      <c r="K342" s="60"/>
      <c r="L342" s="61">
        <v>9</v>
      </c>
      <c r="M342" s="63"/>
      <c r="N342" s="61">
        <v>10.7</v>
      </c>
      <c r="O342" s="64"/>
      <c r="P342" s="64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59">
        <f t="shared" si="26"/>
        <v>46022</v>
      </c>
      <c r="AD342" s="57"/>
      <c r="AE342" s="60"/>
      <c r="AF342" s="59">
        <v>46020</v>
      </c>
      <c r="AG342" s="60"/>
      <c r="AH342" s="57"/>
      <c r="AI342" s="34"/>
      <c r="AJ342" s="34"/>
    </row>
    <row r="343" spans="1:36" s="2" customFormat="1" ht="16.5" x14ac:dyDescent="0.3">
      <c r="A343" s="27">
        <v>46013</v>
      </c>
      <c r="B343" s="27">
        <v>46008</v>
      </c>
      <c r="C343" s="21" t="s">
        <v>49</v>
      </c>
      <c r="D343" s="57" t="s">
        <v>865</v>
      </c>
      <c r="E343" s="70" t="s">
        <v>866</v>
      </c>
      <c r="F343" s="89"/>
      <c r="G343" s="60"/>
      <c r="H343" s="60"/>
      <c r="I343" s="60"/>
      <c r="J343" s="60"/>
      <c r="K343" s="60"/>
      <c r="L343" s="61">
        <v>9.5</v>
      </c>
      <c r="M343" s="63"/>
      <c r="N343" s="61">
        <v>11.6</v>
      </c>
      <c r="O343" s="64"/>
      <c r="P343" s="64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59">
        <f t="shared" ref="AC343" si="28">B343+14</f>
        <v>46022</v>
      </c>
      <c r="AD343" s="57"/>
      <c r="AE343" s="60"/>
      <c r="AF343" s="59">
        <v>46020</v>
      </c>
      <c r="AG343" s="60"/>
      <c r="AH343" s="57"/>
      <c r="AI343" s="34"/>
      <c r="AJ343" s="34"/>
    </row>
    <row r="344" spans="1:36" s="2" customFormat="1" ht="16.5" x14ac:dyDescent="0.3">
      <c r="A344" s="27">
        <v>46013</v>
      </c>
      <c r="B344" s="27">
        <v>46008</v>
      </c>
      <c r="C344" s="21" t="s">
        <v>49</v>
      </c>
      <c r="D344" s="57" t="s">
        <v>693</v>
      </c>
      <c r="E344" s="70" t="s">
        <v>864</v>
      </c>
      <c r="F344" s="89"/>
      <c r="G344" s="60"/>
      <c r="H344" s="60"/>
      <c r="I344" s="60"/>
      <c r="J344" s="60"/>
      <c r="K344" s="60"/>
      <c r="L344" s="61">
        <v>3.4</v>
      </c>
      <c r="M344" s="63"/>
      <c r="N344" s="61">
        <v>5.8</v>
      </c>
      <c r="O344" s="64"/>
      <c r="P344" s="64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59">
        <f t="shared" si="26"/>
        <v>46022</v>
      </c>
      <c r="AD344" s="57"/>
      <c r="AE344" s="60"/>
      <c r="AF344" s="59">
        <v>46020</v>
      </c>
      <c r="AG344" s="60"/>
      <c r="AH344" s="57"/>
      <c r="AI344" s="34"/>
      <c r="AJ344" s="34"/>
    </row>
    <row r="345" spans="1:36" s="2" customFormat="1" ht="16.5" x14ac:dyDescent="0.3">
      <c r="A345" s="27">
        <v>46013</v>
      </c>
      <c r="B345" s="27">
        <v>46008</v>
      </c>
      <c r="C345" s="21" t="s">
        <v>49</v>
      </c>
      <c r="D345" s="57" t="s">
        <v>694</v>
      </c>
      <c r="E345" s="70" t="s">
        <v>867</v>
      </c>
      <c r="F345" s="89"/>
      <c r="G345" s="60"/>
      <c r="H345" s="60"/>
      <c r="I345" s="60"/>
      <c r="J345" s="60"/>
      <c r="K345" s="60"/>
      <c r="L345" s="61">
        <v>17.7</v>
      </c>
      <c r="M345" s="64"/>
      <c r="N345" s="61">
        <v>15.4</v>
      </c>
      <c r="O345" s="64"/>
      <c r="P345" s="64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59">
        <f t="shared" si="26"/>
        <v>46022</v>
      </c>
      <c r="AD345" s="57"/>
      <c r="AE345" s="60"/>
      <c r="AF345" s="59">
        <v>46022</v>
      </c>
      <c r="AG345" s="60"/>
      <c r="AH345" s="57"/>
      <c r="AI345" s="34"/>
      <c r="AJ345" s="34"/>
    </row>
    <row r="346" spans="1:36" s="2" customFormat="1" ht="16.5" x14ac:dyDescent="0.3">
      <c r="A346" s="27">
        <v>46013</v>
      </c>
      <c r="B346" s="27">
        <v>46008</v>
      </c>
      <c r="C346" s="21" t="s">
        <v>49</v>
      </c>
      <c r="D346" s="57" t="s">
        <v>695</v>
      </c>
      <c r="E346" s="70" t="s">
        <v>868</v>
      </c>
      <c r="F346" s="89"/>
      <c r="G346" s="60"/>
      <c r="H346" s="60"/>
      <c r="I346" s="60"/>
      <c r="J346" s="60"/>
      <c r="K346" s="60"/>
      <c r="L346" s="61">
        <v>18.399999999999999</v>
      </c>
      <c r="M346" s="64"/>
      <c r="N346" s="61">
        <v>18.8</v>
      </c>
      <c r="O346" s="64"/>
      <c r="P346" s="64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59">
        <f t="shared" si="26"/>
        <v>46022</v>
      </c>
      <c r="AD346" s="57"/>
      <c r="AE346" s="60"/>
      <c r="AF346" s="59">
        <v>46022</v>
      </c>
      <c r="AG346" s="60"/>
      <c r="AH346" s="57"/>
      <c r="AI346" s="34"/>
      <c r="AJ346" s="34"/>
    </row>
    <row r="347" spans="1:36" s="2" customFormat="1" ht="16.5" x14ac:dyDescent="0.3">
      <c r="A347" s="27">
        <v>46013</v>
      </c>
      <c r="B347" s="27">
        <v>46008</v>
      </c>
      <c r="C347" s="21" t="s">
        <v>49</v>
      </c>
      <c r="D347" s="57" t="s">
        <v>696</v>
      </c>
      <c r="E347" s="70" t="s">
        <v>869</v>
      </c>
      <c r="F347" s="89"/>
      <c r="G347" s="60"/>
      <c r="H347" s="60"/>
      <c r="I347" s="60"/>
      <c r="J347" s="60"/>
      <c r="K347" s="60"/>
      <c r="L347" s="61">
        <v>21.7</v>
      </c>
      <c r="M347" s="64"/>
      <c r="N347" s="61">
        <v>22.1</v>
      </c>
      <c r="O347" s="64"/>
      <c r="P347" s="64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59">
        <f t="shared" si="26"/>
        <v>46022</v>
      </c>
      <c r="AD347" s="57"/>
      <c r="AE347" s="60"/>
      <c r="AF347" s="59">
        <v>46022</v>
      </c>
      <c r="AG347" s="60"/>
      <c r="AH347" s="57"/>
      <c r="AI347" s="34"/>
      <c r="AJ347" s="34"/>
    </row>
    <row r="348" spans="1:36" s="2" customFormat="1" ht="16.5" x14ac:dyDescent="0.3">
      <c r="A348" s="27">
        <v>46013</v>
      </c>
      <c r="B348" s="27">
        <v>46008</v>
      </c>
      <c r="C348" s="21" t="s">
        <v>49</v>
      </c>
      <c r="D348" s="57" t="s">
        <v>697</v>
      </c>
      <c r="E348" s="70" t="s">
        <v>870</v>
      </c>
      <c r="F348" s="89"/>
      <c r="G348" s="60"/>
      <c r="H348" s="60"/>
      <c r="I348" s="60"/>
      <c r="J348" s="60"/>
      <c r="K348" s="60"/>
      <c r="L348" s="61">
        <v>26.9</v>
      </c>
      <c r="M348" s="64"/>
      <c r="N348" s="61">
        <v>19.600000000000001</v>
      </c>
      <c r="O348" s="64"/>
      <c r="P348" s="64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59">
        <f t="shared" si="26"/>
        <v>46022</v>
      </c>
      <c r="AD348" s="57"/>
      <c r="AE348" s="60"/>
      <c r="AF348" s="59">
        <v>46022</v>
      </c>
      <c r="AG348" s="60"/>
      <c r="AH348" s="57"/>
      <c r="AI348" s="34"/>
      <c r="AJ348" s="34"/>
    </row>
    <row r="349" spans="1:36" s="2" customFormat="1" ht="16.5" x14ac:dyDescent="0.3">
      <c r="A349" s="27">
        <v>46013</v>
      </c>
      <c r="B349" s="27">
        <v>46008</v>
      </c>
      <c r="C349" s="21" t="s">
        <v>49</v>
      </c>
      <c r="D349" s="57" t="s">
        <v>698</v>
      </c>
      <c r="E349" s="70" t="s">
        <v>871</v>
      </c>
      <c r="F349" s="89"/>
      <c r="G349" s="60"/>
      <c r="H349" s="60"/>
      <c r="I349" s="60"/>
      <c r="J349" s="60"/>
      <c r="K349" s="60"/>
      <c r="L349" s="61">
        <v>18.2</v>
      </c>
      <c r="M349" s="64"/>
      <c r="N349" s="61">
        <v>17.100000000000001</v>
      </c>
      <c r="O349" s="64"/>
      <c r="P349" s="64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59">
        <f t="shared" si="26"/>
        <v>46022</v>
      </c>
      <c r="AD349" s="57"/>
      <c r="AE349" s="60"/>
      <c r="AF349" s="59">
        <v>46022</v>
      </c>
      <c r="AG349" s="60"/>
      <c r="AH349" s="57"/>
      <c r="AI349" s="34"/>
      <c r="AJ349" s="34"/>
    </row>
    <row r="350" spans="1:36" s="2" customFormat="1" ht="16.5" x14ac:dyDescent="0.3">
      <c r="A350" s="27">
        <v>46013</v>
      </c>
      <c r="B350" s="27">
        <v>46008</v>
      </c>
      <c r="C350" s="21" t="s">
        <v>49</v>
      </c>
      <c r="D350" s="57" t="s">
        <v>699</v>
      </c>
      <c r="E350" s="70" t="s">
        <v>872</v>
      </c>
      <c r="F350" s="89"/>
      <c r="G350" s="60"/>
      <c r="H350" s="60"/>
      <c r="I350" s="60"/>
      <c r="J350" s="60"/>
      <c r="K350" s="60"/>
      <c r="L350" s="61">
        <v>32.799999999999997</v>
      </c>
      <c r="M350" s="64"/>
      <c r="N350" s="61">
        <v>29.1</v>
      </c>
      <c r="O350" s="64"/>
      <c r="P350" s="64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59">
        <f t="shared" si="26"/>
        <v>46022</v>
      </c>
      <c r="AD350" s="57"/>
      <c r="AE350" s="60"/>
      <c r="AF350" s="59">
        <v>46022</v>
      </c>
      <c r="AG350" s="60"/>
      <c r="AH350" s="57"/>
      <c r="AI350" s="34"/>
      <c r="AJ350" s="34"/>
    </row>
    <row r="351" spans="1:36" s="2" customFormat="1" ht="16.5" x14ac:dyDescent="0.3">
      <c r="A351" s="27">
        <v>46013</v>
      </c>
      <c r="B351" s="27">
        <v>46008</v>
      </c>
      <c r="C351" s="21" t="s">
        <v>49</v>
      </c>
      <c r="D351" s="57" t="s">
        <v>700</v>
      </c>
      <c r="E351" s="70" t="s">
        <v>873</v>
      </c>
      <c r="F351" s="89"/>
      <c r="G351" s="60"/>
      <c r="H351" s="60"/>
      <c r="I351" s="60"/>
      <c r="J351" s="60"/>
      <c r="K351" s="60"/>
      <c r="L351" s="61">
        <v>17.8</v>
      </c>
      <c r="M351" s="64"/>
      <c r="N351" s="61">
        <v>15.5</v>
      </c>
      <c r="O351" s="64"/>
      <c r="P351" s="64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59">
        <f t="shared" si="26"/>
        <v>46022</v>
      </c>
      <c r="AD351" s="57"/>
      <c r="AE351" s="60"/>
      <c r="AF351" s="59">
        <v>46022</v>
      </c>
      <c r="AG351" s="60"/>
      <c r="AH351" s="57"/>
      <c r="AI351" s="34"/>
      <c r="AJ351" s="34"/>
    </row>
    <row r="352" spans="1:36" s="2" customFormat="1" ht="16.5" x14ac:dyDescent="0.3">
      <c r="A352" s="27">
        <v>46013</v>
      </c>
      <c r="B352" s="27">
        <v>46008</v>
      </c>
      <c r="C352" s="21" t="s">
        <v>49</v>
      </c>
      <c r="D352" s="57" t="s">
        <v>701</v>
      </c>
      <c r="E352" s="70" t="s">
        <v>874</v>
      </c>
      <c r="F352" s="89"/>
      <c r="G352" s="60"/>
      <c r="H352" s="60"/>
      <c r="I352" s="60"/>
      <c r="J352" s="60"/>
      <c r="K352" s="60"/>
      <c r="L352" s="61">
        <v>16</v>
      </c>
      <c r="M352" s="64"/>
      <c r="N352" s="61">
        <v>13.9</v>
      </c>
      <c r="O352" s="64"/>
      <c r="P352" s="64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59">
        <f t="shared" si="26"/>
        <v>46022</v>
      </c>
      <c r="AD352" s="57"/>
      <c r="AE352" s="60"/>
      <c r="AF352" s="59">
        <v>46022</v>
      </c>
      <c r="AG352" s="60"/>
      <c r="AH352" s="57"/>
      <c r="AI352" s="34"/>
      <c r="AJ352" s="34"/>
    </row>
    <row r="353" spans="1:36" s="2" customFormat="1" ht="16.5" x14ac:dyDescent="0.3">
      <c r="A353" s="27">
        <v>46013</v>
      </c>
      <c r="B353" s="27">
        <v>46008</v>
      </c>
      <c r="C353" s="21" t="s">
        <v>49</v>
      </c>
      <c r="D353" s="57" t="s">
        <v>702</v>
      </c>
      <c r="E353" s="70" t="s">
        <v>875</v>
      </c>
      <c r="F353" s="89"/>
      <c r="G353" s="60"/>
      <c r="H353" s="60"/>
      <c r="I353" s="60"/>
      <c r="J353" s="60"/>
      <c r="K353" s="60"/>
      <c r="L353" s="61">
        <v>16.600000000000001</v>
      </c>
      <c r="M353" s="64"/>
      <c r="N353" s="61">
        <v>11.7</v>
      </c>
      <c r="O353" s="64"/>
      <c r="P353" s="64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59">
        <f t="shared" si="26"/>
        <v>46022</v>
      </c>
      <c r="AD353" s="57"/>
      <c r="AE353" s="60"/>
      <c r="AF353" s="59">
        <v>46022</v>
      </c>
      <c r="AG353" s="60"/>
      <c r="AH353" s="57"/>
      <c r="AI353" s="34"/>
      <c r="AJ353" s="34"/>
    </row>
    <row r="354" spans="1:36" s="2" customFormat="1" ht="16.5" x14ac:dyDescent="0.3">
      <c r="A354" s="27">
        <v>46013</v>
      </c>
      <c r="B354" s="27">
        <v>46008</v>
      </c>
      <c r="C354" s="21" t="s">
        <v>49</v>
      </c>
      <c r="D354" s="57" t="s">
        <v>703</v>
      </c>
      <c r="E354" s="70" t="s">
        <v>876</v>
      </c>
      <c r="F354" s="89"/>
      <c r="G354" s="60"/>
      <c r="H354" s="60"/>
      <c r="I354" s="60"/>
      <c r="J354" s="60"/>
      <c r="K354" s="60"/>
      <c r="L354" s="61">
        <v>21.4</v>
      </c>
      <c r="M354" s="64"/>
      <c r="N354" s="61">
        <v>22.1</v>
      </c>
      <c r="O354" s="64"/>
      <c r="P354" s="64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59">
        <f t="shared" si="26"/>
        <v>46022</v>
      </c>
      <c r="AD354" s="57"/>
      <c r="AE354" s="60"/>
      <c r="AF354" s="59">
        <v>46022</v>
      </c>
      <c r="AG354" s="60"/>
      <c r="AH354" s="57"/>
      <c r="AI354" s="34"/>
      <c r="AJ354" s="34"/>
    </row>
    <row r="355" spans="1:36" s="2" customFormat="1" ht="16.5" x14ac:dyDescent="0.3">
      <c r="A355" s="27">
        <v>46013</v>
      </c>
      <c r="B355" s="27">
        <v>46008</v>
      </c>
      <c r="C355" s="21" t="s">
        <v>49</v>
      </c>
      <c r="D355" s="57" t="s">
        <v>704</v>
      </c>
      <c r="E355" s="70" t="s">
        <v>877</v>
      </c>
      <c r="F355" s="89"/>
      <c r="G355" s="60"/>
      <c r="H355" s="60"/>
      <c r="I355" s="60"/>
      <c r="J355" s="60"/>
      <c r="K355" s="60"/>
      <c r="L355" s="61">
        <v>16.8</v>
      </c>
      <c r="M355" s="64"/>
      <c r="N355" s="61">
        <v>16.3</v>
      </c>
      <c r="O355" s="64"/>
      <c r="P355" s="64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59">
        <f t="shared" si="26"/>
        <v>46022</v>
      </c>
      <c r="AD355" s="57"/>
      <c r="AE355" s="60"/>
      <c r="AF355" s="59">
        <v>46022</v>
      </c>
      <c r="AG355" s="60"/>
      <c r="AH355" s="57"/>
      <c r="AI355" s="34"/>
      <c r="AJ355" s="34"/>
    </row>
    <row r="356" spans="1:36" s="2" customFormat="1" ht="16.5" x14ac:dyDescent="0.3">
      <c r="A356" s="27">
        <v>46013</v>
      </c>
      <c r="B356" s="27">
        <v>46008</v>
      </c>
      <c r="C356" s="21" t="s">
        <v>49</v>
      </c>
      <c r="D356" s="68" t="s">
        <v>705</v>
      </c>
      <c r="E356" s="86" t="s">
        <v>878</v>
      </c>
      <c r="F356" s="89"/>
      <c r="G356" s="60"/>
      <c r="H356" s="60"/>
      <c r="I356" s="60"/>
      <c r="J356" s="60"/>
      <c r="K356" s="60"/>
      <c r="L356" s="61">
        <v>17.3</v>
      </c>
      <c r="M356" s="64"/>
      <c r="N356" s="61">
        <v>16.5</v>
      </c>
      <c r="O356" s="64"/>
      <c r="P356" s="64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59">
        <f t="shared" si="26"/>
        <v>46022</v>
      </c>
      <c r="AD356" s="57"/>
      <c r="AE356" s="60"/>
      <c r="AF356" s="59">
        <v>46022</v>
      </c>
      <c r="AG356" s="60"/>
      <c r="AH356" s="68" t="s">
        <v>598</v>
      </c>
      <c r="AI356" s="34"/>
      <c r="AJ356" s="34"/>
    </row>
    <row r="357" spans="1:36" s="2" customFormat="1" ht="16.5" x14ac:dyDescent="0.3">
      <c r="A357" s="27">
        <v>46013</v>
      </c>
      <c r="B357" s="27">
        <v>46008</v>
      </c>
      <c r="C357" s="21" t="s">
        <v>49</v>
      </c>
      <c r="D357" s="68" t="s">
        <v>706</v>
      </c>
      <c r="E357" s="86" t="s">
        <v>879</v>
      </c>
      <c r="F357" s="89"/>
      <c r="G357" s="60"/>
      <c r="H357" s="60"/>
      <c r="I357" s="60"/>
      <c r="J357" s="60"/>
      <c r="K357" s="60"/>
      <c r="L357" s="61">
        <v>14.8</v>
      </c>
      <c r="M357" s="64"/>
      <c r="N357" s="61">
        <v>15.4</v>
      </c>
      <c r="O357" s="64"/>
      <c r="P357" s="64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59">
        <f t="shared" si="26"/>
        <v>46022</v>
      </c>
      <c r="AD357" s="57"/>
      <c r="AE357" s="60"/>
      <c r="AF357" s="59">
        <v>46022</v>
      </c>
      <c r="AG357" s="60"/>
      <c r="AH357" s="68" t="s">
        <v>598</v>
      </c>
      <c r="AI357" s="34"/>
      <c r="AJ357" s="34"/>
    </row>
    <row r="358" spans="1:36" s="2" customFormat="1" ht="16.5" x14ac:dyDescent="0.3">
      <c r="A358" s="27">
        <v>46013</v>
      </c>
      <c r="B358" s="27">
        <v>46008</v>
      </c>
      <c r="C358" s="21" t="s">
        <v>49</v>
      </c>
      <c r="D358" s="68" t="s">
        <v>707</v>
      </c>
      <c r="E358" s="86" t="s">
        <v>880</v>
      </c>
      <c r="F358" s="89"/>
      <c r="G358" s="60"/>
      <c r="H358" s="60"/>
      <c r="I358" s="60"/>
      <c r="J358" s="60"/>
      <c r="K358" s="60"/>
      <c r="L358" s="61">
        <v>19</v>
      </c>
      <c r="M358" s="64"/>
      <c r="N358" s="61">
        <v>15.7</v>
      </c>
      <c r="O358" s="64"/>
      <c r="P358" s="64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59">
        <f t="shared" si="26"/>
        <v>46022</v>
      </c>
      <c r="AD358" s="57"/>
      <c r="AE358" s="60"/>
      <c r="AF358" s="59">
        <v>46022</v>
      </c>
      <c r="AG358" s="60"/>
      <c r="AH358" s="68" t="s">
        <v>598</v>
      </c>
      <c r="AI358" s="34"/>
      <c r="AJ358" s="34"/>
    </row>
    <row r="359" spans="1:36" s="2" customFormat="1" ht="16.5" x14ac:dyDescent="0.3">
      <c r="A359" s="27">
        <v>46013</v>
      </c>
      <c r="B359" s="27">
        <v>46008</v>
      </c>
      <c r="C359" s="21" t="s">
        <v>49</v>
      </c>
      <c r="D359" s="68" t="s">
        <v>708</v>
      </c>
      <c r="E359" s="86" t="s">
        <v>881</v>
      </c>
      <c r="F359" s="89"/>
      <c r="G359" s="60"/>
      <c r="H359" s="60"/>
      <c r="I359" s="60"/>
      <c r="J359" s="60"/>
      <c r="K359" s="60"/>
      <c r="L359" s="61">
        <v>16.399999999999999</v>
      </c>
      <c r="M359" s="64"/>
      <c r="N359" s="61">
        <v>14.2</v>
      </c>
      <c r="O359" s="64"/>
      <c r="P359" s="64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59">
        <f t="shared" si="26"/>
        <v>46022</v>
      </c>
      <c r="AD359" s="57"/>
      <c r="AE359" s="60"/>
      <c r="AF359" s="59">
        <v>46022</v>
      </c>
      <c r="AG359" s="60"/>
      <c r="AH359" s="68" t="s">
        <v>598</v>
      </c>
      <c r="AI359" s="34"/>
      <c r="AJ359" s="34"/>
    </row>
    <row r="360" spans="1:36" s="2" customFormat="1" ht="16.5" x14ac:dyDescent="0.3">
      <c r="A360" s="27">
        <v>46013</v>
      </c>
      <c r="B360" s="27">
        <v>46008</v>
      </c>
      <c r="C360" s="21" t="s">
        <v>49</v>
      </c>
      <c r="D360" s="68" t="s">
        <v>709</v>
      </c>
      <c r="E360" s="86" t="s">
        <v>882</v>
      </c>
      <c r="F360" s="89"/>
      <c r="G360" s="60"/>
      <c r="H360" s="60"/>
      <c r="I360" s="60"/>
      <c r="J360" s="60"/>
      <c r="K360" s="60"/>
      <c r="L360" s="61">
        <v>23.4</v>
      </c>
      <c r="M360" s="64"/>
      <c r="N360" s="61">
        <v>14.2</v>
      </c>
      <c r="O360" s="64"/>
      <c r="P360" s="64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59">
        <f t="shared" si="26"/>
        <v>46022</v>
      </c>
      <c r="AD360" s="57"/>
      <c r="AE360" s="60"/>
      <c r="AF360" s="59">
        <v>46022</v>
      </c>
      <c r="AG360" s="60"/>
      <c r="AH360" s="68" t="s">
        <v>598</v>
      </c>
      <c r="AI360" s="34"/>
      <c r="AJ360" s="34"/>
    </row>
    <row r="361" spans="1:36" s="2" customFormat="1" ht="16.5" x14ac:dyDescent="0.3">
      <c r="A361" s="27">
        <v>46013</v>
      </c>
      <c r="B361" s="27">
        <v>46008</v>
      </c>
      <c r="C361" s="21" t="s">
        <v>49</v>
      </c>
      <c r="D361" s="57" t="s">
        <v>710</v>
      </c>
      <c r="E361" s="70" t="s">
        <v>884</v>
      </c>
      <c r="F361" s="89"/>
      <c r="G361" s="60"/>
      <c r="H361" s="60"/>
      <c r="I361" s="60"/>
      <c r="J361" s="60"/>
      <c r="K361" s="60"/>
      <c r="L361" s="61">
        <v>39.9</v>
      </c>
      <c r="M361" s="64"/>
      <c r="N361" s="61">
        <v>189.2</v>
      </c>
      <c r="O361" s="64"/>
      <c r="P361" s="64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59">
        <f t="shared" si="26"/>
        <v>46022</v>
      </c>
      <c r="AD361" s="57"/>
      <c r="AE361" s="60"/>
      <c r="AF361" s="59">
        <v>46022</v>
      </c>
      <c r="AG361" s="60"/>
      <c r="AH361" s="57"/>
      <c r="AI361" s="34"/>
      <c r="AJ361" s="34"/>
    </row>
    <row r="362" spans="1:36" s="2" customFormat="1" ht="16.5" x14ac:dyDescent="0.3">
      <c r="A362" s="27">
        <v>46013</v>
      </c>
      <c r="B362" s="27">
        <v>46008</v>
      </c>
      <c r="C362" s="21" t="s">
        <v>49</v>
      </c>
      <c r="D362" s="57" t="s">
        <v>711</v>
      </c>
      <c r="E362" s="70" t="s">
        <v>885</v>
      </c>
      <c r="F362" s="89"/>
      <c r="G362" s="60"/>
      <c r="H362" s="60"/>
      <c r="I362" s="60"/>
      <c r="J362" s="60"/>
      <c r="K362" s="60"/>
      <c r="L362" s="61">
        <v>52.9</v>
      </c>
      <c r="M362" s="64"/>
      <c r="N362" s="61">
        <v>173.3</v>
      </c>
      <c r="O362" s="64"/>
      <c r="P362" s="64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59">
        <f t="shared" si="26"/>
        <v>46022</v>
      </c>
      <c r="AD362" s="57"/>
      <c r="AE362" s="60"/>
      <c r="AF362" s="59">
        <v>46022</v>
      </c>
      <c r="AG362" s="60"/>
      <c r="AH362" s="57"/>
      <c r="AI362" s="34"/>
      <c r="AJ362" s="34"/>
    </row>
    <row r="363" spans="1:36" s="2" customFormat="1" ht="16.5" x14ac:dyDescent="0.3">
      <c r="A363" s="27">
        <v>46013</v>
      </c>
      <c r="B363" s="27">
        <v>46008</v>
      </c>
      <c r="C363" s="21" t="s">
        <v>49</v>
      </c>
      <c r="D363" s="57" t="s">
        <v>712</v>
      </c>
      <c r="E363" s="70" t="s">
        <v>886</v>
      </c>
      <c r="F363" s="89"/>
      <c r="G363" s="60"/>
      <c r="H363" s="60"/>
      <c r="I363" s="60"/>
      <c r="J363" s="60"/>
      <c r="K363" s="60"/>
      <c r="L363" s="61">
        <v>25.3</v>
      </c>
      <c r="M363" s="64"/>
      <c r="N363" s="61">
        <v>21.4</v>
      </c>
      <c r="O363" s="64"/>
      <c r="P363" s="64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59">
        <f t="shared" si="26"/>
        <v>46022</v>
      </c>
      <c r="AD363" s="57"/>
      <c r="AE363" s="60"/>
      <c r="AF363" s="59">
        <v>46022</v>
      </c>
      <c r="AG363" s="60"/>
      <c r="AH363" s="57"/>
      <c r="AI363" s="34"/>
      <c r="AJ363" s="34"/>
    </row>
    <row r="364" spans="1:36" s="2" customFormat="1" ht="16.5" x14ac:dyDescent="0.3">
      <c r="A364" s="27">
        <v>46013</v>
      </c>
      <c r="B364" s="27">
        <v>46008</v>
      </c>
      <c r="C364" s="21" t="s">
        <v>49</v>
      </c>
      <c r="D364" s="57" t="s">
        <v>713</v>
      </c>
      <c r="E364" s="70" t="s">
        <v>887</v>
      </c>
      <c r="F364" s="89"/>
      <c r="G364" s="60"/>
      <c r="H364" s="60"/>
      <c r="I364" s="60"/>
      <c r="J364" s="60"/>
      <c r="K364" s="60"/>
      <c r="L364" s="61">
        <v>20</v>
      </c>
      <c r="M364" s="64"/>
      <c r="N364" s="61">
        <v>14.2</v>
      </c>
      <c r="O364" s="64"/>
      <c r="P364" s="64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59">
        <f t="shared" si="26"/>
        <v>46022</v>
      </c>
      <c r="AD364" s="57"/>
      <c r="AE364" s="60"/>
      <c r="AF364" s="59">
        <v>46022</v>
      </c>
      <c r="AG364" s="60"/>
      <c r="AH364" s="57"/>
      <c r="AI364" s="34"/>
      <c r="AJ364" s="34"/>
    </row>
    <row r="365" spans="1:36" s="2" customFormat="1" ht="16.5" x14ac:dyDescent="0.3">
      <c r="A365" s="27">
        <v>46013</v>
      </c>
      <c r="B365" s="27">
        <v>46008</v>
      </c>
      <c r="C365" s="21" t="s">
        <v>49</v>
      </c>
      <c r="D365" s="57" t="s">
        <v>883</v>
      </c>
      <c r="E365" s="70" t="s">
        <v>888</v>
      </c>
      <c r="F365" s="89"/>
      <c r="G365" s="60"/>
      <c r="H365" s="60"/>
      <c r="I365" s="60"/>
      <c r="J365" s="60"/>
      <c r="K365" s="60"/>
      <c r="L365" s="61">
        <v>20.6</v>
      </c>
      <c r="M365" s="64"/>
      <c r="N365" s="61">
        <v>15.2</v>
      </c>
      <c r="O365" s="64"/>
      <c r="P365" s="64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59">
        <f t="shared" ref="AC365" si="29">B365+14</f>
        <v>46022</v>
      </c>
      <c r="AD365" s="57"/>
      <c r="AE365" s="60"/>
      <c r="AF365" s="59">
        <v>46022</v>
      </c>
      <c r="AG365" s="60"/>
      <c r="AH365" s="57"/>
      <c r="AI365" s="34"/>
      <c r="AJ365" s="34"/>
    </row>
    <row r="366" spans="1:36" s="2" customFormat="1" ht="16.5" x14ac:dyDescent="0.3">
      <c r="A366" s="27">
        <v>46013</v>
      </c>
      <c r="B366" s="27">
        <v>46008</v>
      </c>
      <c r="C366" s="21" t="s">
        <v>49</v>
      </c>
      <c r="D366" s="57" t="s">
        <v>714</v>
      </c>
      <c r="E366" s="70" t="s">
        <v>889</v>
      </c>
      <c r="F366" s="89"/>
      <c r="G366" s="60"/>
      <c r="H366" s="60"/>
      <c r="I366" s="60"/>
      <c r="J366" s="60"/>
      <c r="K366" s="60"/>
      <c r="L366" s="61">
        <v>19.2</v>
      </c>
      <c r="M366" s="64"/>
      <c r="N366" s="61">
        <v>14.7</v>
      </c>
      <c r="O366" s="64"/>
      <c r="P366" s="64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59">
        <f t="shared" si="26"/>
        <v>46022</v>
      </c>
      <c r="AD366" s="57"/>
      <c r="AE366" s="60"/>
      <c r="AF366" s="59">
        <v>46022</v>
      </c>
      <c r="AG366" s="60"/>
      <c r="AH366" s="57"/>
      <c r="AI366" s="34"/>
      <c r="AJ366" s="34"/>
    </row>
    <row r="367" spans="1:36" s="2" customFormat="1" ht="16.5" x14ac:dyDescent="0.3">
      <c r="A367" s="27">
        <v>46013</v>
      </c>
      <c r="B367" s="27">
        <v>46008</v>
      </c>
      <c r="C367" s="21" t="s">
        <v>49</v>
      </c>
      <c r="D367" s="57" t="s">
        <v>715</v>
      </c>
      <c r="E367" s="70" t="s">
        <v>890</v>
      </c>
      <c r="F367" s="89"/>
      <c r="G367" s="60"/>
      <c r="H367" s="60"/>
      <c r="I367" s="60"/>
      <c r="J367" s="60"/>
      <c r="K367" s="60"/>
      <c r="L367" s="61">
        <v>60.3</v>
      </c>
      <c r="M367" s="64"/>
      <c r="N367" s="61">
        <v>370.2</v>
      </c>
      <c r="O367" s="64"/>
      <c r="P367" s="64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59">
        <f t="shared" si="26"/>
        <v>46022</v>
      </c>
      <c r="AD367" s="57"/>
      <c r="AE367" s="60"/>
      <c r="AF367" s="59">
        <v>46022</v>
      </c>
      <c r="AG367" s="60"/>
      <c r="AH367" s="57"/>
      <c r="AI367" s="34"/>
      <c r="AJ367" s="34"/>
    </row>
    <row r="368" spans="1:36" s="2" customFormat="1" ht="16.5" x14ac:dyDescent="0.3">
      <c r="A368" s="27">
        <v>46013</v>
      </c>
      <c r="B368" s="27">
        <v>46008</v>
      </c>
      <c r="C368" s="21" t="s">
        <v>49</v>
      </c>
      <c r="D368" s="57" t="s">
        <v>716</v>
      </c>
      <c r="E368" s="70" t="s">
        <v>891</v>
      </c>
      <c r="F368" s="89"/>
      <c r="G368" s="60"/>
      <c r="H368" s="60"/>
      <c r="I368" s="60"/>
      <c r="J368" s="60"/>
      <c r="K368" s="60"/>
      <c r="L368" s="61">
        <v>41.9</v>
      </c>
      <c r="M368" s="64"/>
      <c r="N368" s="61">
        <v>169.6</v>
      </c>
      <c r="O368" s="64"/>
      <c r="P368" s="64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59">
        <f t="shared" si="26"/>
        <v>46022</v>
      </c>
      <c r="AD368" s="57"/>
      <c r="AE368" s="60"/>
      <c r="AF368" s="59">
        <v>46022</v>
      </c>
      <c r="AG368" s="60"/>
      <c r="AH368" s="57"/>
      <c r="AI368" s="34"/>
      <c r="AJ368" s="34"/>
    </row>
    <row r="369" spans="1:36" s="2" customFormat="1" ht="16.5" x14ac:dyDescent="0.3">
      <c r="A369" s="27">
        <v>46013</v>
      </c>
      <c r="B369" s="27">
        <v>46008</v>
      </c>
      <c r="C369" s="21" t="s">
        <v>49</v>
      </c>
      <c r="D369" s="57" t="s">
        <v>717</v>
      </c>
      <c r="E369" s="70" t="s">
        <v>892</v>
      </c>
      <c r="F369" s="89"/>
      <c r="G369" s="60"/>
      <c r="H369" s="60"/>
      <c r="I369" s="60"/>
      <c r="J369" s="60"/>
      <c r="K369" s="60"/>
      <c r="L369" s="61">
        <v>30.2</v>
      </c>
      <c r="M369" s="64"/>
      <c r="N369" s="61">
        <v>173.2</v>
      </c>
      <c r="O369" s="64"/>
      <c r="P369" s="64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59">
        <f t="shared" si="26"/>
        <v>46022</v>
      </c>
      <c r="AD369" s="57"/>
      <c r="AE369" s="60"/>
      <c r="AF369" s="59">
        <v>46022</v>
      </c>
      <c r="AG369" s="60"/>
      <c r="AH369" s="57"/>
      <c r="AI369" s="34"/>
      <c r="AJ369" s="34"/>
    </row>
    <row r="370" spans="1:36" s="2" customFormat="1" ht="16.5" x14ac:dyDescent="0.3">
      <c r="A370" s="27">
        <v>46013</v>
      </c>
      <c r="B370" s="27">
        <v>46008</v>
      </c>
      <c r="C370" s="21" t="s">
        <v>49</v>
      </c>
      <c r="D370" s="57" t="s">
        <v>718</v>
      </c>
      <c r="E370" s="70" t="s">
        <v>893</v>
      </c>
      <c r="F370" s="89"/>
      <c r="G370" s="60"/>
      <c r="H370" s="60"/>
      <c r="I370" s="60"/>
      <c r="J370" s="60"/>
      <c r="K370" s="60"/>
      <c r="L370" s="61">
        <v>14.1</v>
      </c>
      <c r="M370" s="64"/>
      <c r="N370" s="61">
        <v>56.4</v>
      </c>
      <c r="O370" s="64"/>
      <c r="P370" s="64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59">
        <f t="shared" si="26"/>
        <v>46022</v>
      </c>
      <c r="AD370" s="57"/>
      <c r="AE370" s="60"/>
      <c r="AF370" s="59">
        <v>46022</v>
      </c>
      <c r="AG370" s="60"/>
      <c r="AH370" s="57"/>
      <c r="AI370" s="34"/>
      <c r="AJ370" s="34"/>
    </row>
    <row r="371" spans="1:36" s="2" customFormat="1" ht="16.5" x14ac:dyDescent="0.3">
      <c r="A371" s="27">
        <v>46013</v>
      </c>
      <c r="B371" s="27">
        <v>46008</v>
      </c>
      <c r="C371" s="21" t="s">
        <v>49</v>
      </c>
      <c r="D371" s="57" t="s">
        <v>719</v>
      </c>
      <c r="E371" s="70" t="s">
        <v>894</v>
      </c>
      <c r="F371" s="89"/>
      <c r="G371" s="60"/>
      <c r="H371" s="60"/>
      <c r="I371" s="60"/>
      <c r="J371" s="60"/>
      <c r="K371" s="60"/>
      <c r="L371" s="61">
        <v>8.1999999999999993</v>
      </c>
      <c r="M371" s="64"/>
      <c r="N371" s="61">
        <v>11.5</v>
      </c>
      <c r="O371" s="64"/>
      <c r="P371" s="64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59">
        <f t="shared" ref="AC371:AC438" si="30">B371+14</f>
        <v>46022</v>
      </c>
      <c r="AD371" s="57"/>
      <c r="AE371" s="60"/>
      <c r="AF371" s="59">
        <v>46022</v>
      </c>
      <c r="AG371" s="60"/>
      <c r="AH371" s="57"/>
      <c r="AI371" s="34"/>
      <c r="AJ371" s="34"/>
    </row>
    <row r="372" spans="1:36" s="2" customFormat="1" ht="16.5" x14ac:dyDescent="0.3">
      <c r="A372" s="27">
        <v>46013</v>
      </c>
      <c r="B372" s="27">
        <v>46008</v>
      </c>
      <c r="C372" s="21" t="s">
        <v>49</v>
      </c>
      <c r="D372" s="57" t="s">
        <v>720</v>
      </c>
      <c r="E372" s="70" t="s">
        <v>895</v>
      </c>
      <c r="F372" s="89"/>
      <c r="G372" s="60"/>
      <c r="H372" s="60"/>
      <c r="I372" s="60"/>
      <c r="J372" s="60"/>
      <c r="K372" s="60"/>
      <c r="L372" s="61">
        <v>12.9</v>
      </c>
      <c r="M372" s="64"/>
      <c r="N372" s="61">
        <v>11.6</v>
      </c>
      <c r="O372" s="64"/>
      <c r="P372" s="64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59">
        <f t="shared" si="30"/>
        <v>46022</v>
      </c>
      <c r="AD372" s="57"/>
      <c r="AE372" s="60"/>
      <c r="AF372" s="59">
        <v>46022</v>
      </c>
      <c r="AG372" s="60"/>
      <c r="AH372" s="57"/>
      <c r="AI372" s="34"/>
      <c r="AJ372" s="34"/>
    </row>
    <row r="373" spans="1:36" s="2" customFormat="1" ht="16.5" x14ac:dyDescent="0.3">
      <c r="A373" s="27">
        <v>46013</v>
      </c>
      <c r="B373" s="27">
        <v>46008</v>
      </c>
      <c r="C373" s="21" t="s">
        <v>49</v>
      </c>
      <c r="D373" s="57" t="s">
        <v>721</v>
      </c>
      <c r="E373" s="70" t="s">
        <v>896</v>
      </c>
      <c r="F373" s="89"/>
      <c r="G373" s="60"/>
      <c r="H373" s="60"/>
      <c r="I373" s="60"/>
      <c r="J373" s="60"/>
      <c r="K373" s="60"/>
      <c r="L373" s="61">
        <v>118.9</v>
      </c>
      <c r="M373" s="64"/>
      <c r="N373" s="61">
        <v>964.8</v>
      </c>
      <c r="O373" s="64"/>
      <c r="P373" s="64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59">
        <f t="shared" si="30"/>
        <v>46022</v>
      </c>
      <c r="AD373" s="57"/>
      <c r="AE373" s="60"/>
      <c r="AF373" s="59">
        <v>46022</v>
      </c>
      <c r="AG373" s="60"/>
      <c r="AH373" s="57"/>
      <c r="AI373" s="34"/>
      <c r="AJ373" s="34"/>
    </row>
    <row r="374" spans="1:36" s="2" customFormat="1" ht="16.5" x14ac:dyDescent="0.3">
      <c r="A374" s="27">
        <v>46013</v>
      </c>
      <c r="B374" s="27">
        <v>46008</v>
      </c>
      <c r="C374" s="21" t="s">
        <v>49</v>
      </c>
      <c r="D374" s="57" t="s">
        <v>722</v>
      </c>
      <c r="E374" s="70" t="s">
        <v>897</v>
      </c>
      <c r="F374" s="89"/>
      <c r="G374" s="60"/>
      <c r="H374" s="60"/>
      <c r="I374" s="60"/>
      <c r="J374" s="60"/>
      <c r="K374" s="60"/>
      <c r="L374" s="61">
        <v>61.3</v>
      </c>
      <c r="M374" s="64"/>
      <c r="N374" s="61">
        <v>157.4</v>
      </c>
      <c r="O374" s="64"/>
      <c r="P374" s="64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59">
        <f t="shared" si="30"/>
        <v>46022</v>
      </c>
      <c r="AD374" s="57"/>
      <c r="AE374" s="60"/>
      <c r="AF374" s="59">
        <v>46022</v>
      </c>
      <c r="AG374" s="60"/>
      <c r="AH374" s="57"/>
      <c r="AI374" s="34"/>
      <c r="AJ374" s="34"/>
    </row>
    <row r="375" spans="1:36" s="2" customFormat="1" ht="16.5" x14ac:dyDescent="0.3">
      <c r="A375" s="27">
        <v>46013</v>
      </c>
      <c r="B375" s="27">
        <v>46008</v>
      </c>
      <c r="C375" s="21" t="s">
        <v>49</v>
      </c>
      <c r="D375" s="57" t="s">
        <v>723</v>
      </c>
      <c r="E375" s="70" t="s">
        <v>898</v>
      </c>
      <c r="F375" s="89"/>
      <c r="G375" s="60"/>
      <c r="H375" s="60"/>
      <c r="I375" s="60"/>
      <c r="J375" s="60"/>
      <c r="K375" s="60"/>
      <c r="L375" s="61">
        <v>16.100000000000001</v>
      </c>
      <c r="M375" s="64"/>
      <c r="N375" s="61">
        <v>24.4</v>
      </c>
      <c r="O375" s="64"/>
      <c r="P375" s="64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59">
        <f t="shared" si="30"/>
        <v>46022</v>
      </c>
      <c r="AD375" s="57"/>
      <c r="AE375" s="60"/>
      <c r="AF375" s="59">
        <v>46022</v>
      </c>
      <c r="AG375" s="60"/>
      <c r="AH375" s="57"/>
      <c r="AI375" s="34"/>
      <c r="AJ375" s="34"/>
    </row>
    <row r="376" spans="1:36" s="2" customFormat="1" ht="16.5" x14ac:dyDescent="0.3">
      <c r="A376" s="27">
        <v>46013</v>
      </c>
      <c r="B376" s="27">
        <v>46008</v>
      </c>
      <c r="C376" s="21" t="s">
        <v>49</v>
      </c>
      <c r="D376" s="57" t="s">
        <v>724</v>
      </c>
      <c r="E376" s="70" t="s">
        <v>899</v>
      </c>
      <c r="F376" s="89"/>
      <c r="G376" s="60"/>
      <c r="H376" s="60"/>
      <c r="I376" s="60"/>
      <c r="J376" s="60"/>
      <c r="K376" s="60"/>
      <c r="L376" s="61">
        <v>18.600000000000001</v>
      </c>
      <c r="M376" s="64"/>
      <c r="N376" s="61">
        <v>13.7</v>
      </c>
      <c r="O376" s="64"/>
      <c r="P376" s="64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59">
        <f t="shared" si="30"/>
        <v>46022</v>
      </c>
      <c r="AD376" s="57"/>
      <c r="AE376" s="60"/>
      <c r="AF376" s="59">
        <v>46022</v>
      </c>
      <c r="AG376" s="60"/>
      <c r="AH376" s="57"/>
      <c r="AI376" s="34"/>
      <c r="AJ376" s="34"/>
    </row>
    <row r="377" spans="1:36" s="2" customFormat="1" ht="16.5" x14ac:dyDescent="0.3">
      <c r="A377" s="27">
        <v>46013</v>
      </c>
      <c r="B377" s="27">
        <v>46008</v>
      </c>
      <c r="C377" s="21" t="s">
        <v>49</v>
      </c>
      <c r="D377" s="57" t="s">
        <v>725</v>
      </c>
      <c r="E377" s="70" t="s">
        <v>900</v>
      </c>
      <c r="F377" s="89"/>
      <c r="G377" s="60"/>
      <c r="H377" s="60"/>
      <c r="I377" s="60"/>
      <c r="J377" s="60"/>
      <c r="K377" s="60"/>
      <c r="L377" s="61">
        <v>75.400000000000006</v>
      </c>
      <c r="M377" s="64"/>
      <c r="N377" s="61">
        <v>915.9</v>
      </c>
      <c r="O377" s="64"/>
      <c r="P377" s="64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59">
        <f t="shared" si="30"/>
        <v>46022</v>
      </c>
      <c r="AD377" s="57"/>
      <c r="AE377" s="60"/>
      <c r="AF377" s="59">
        <v>46022</v>
      </c>
      <c r="AG377" s="60"/>
      <c r="AH377" s="57"/>
      <c r="AI377" s="34"/>
      <c r="AJ377" s="34"/>
    </row>
    <row r="378" spans="1:36" s="2" customFormat="1" ht="16.5" x14ac:dyDescent="0.3">
      <c r="A378" s="27">
        <v>46013</v>
      </c>
      <c r="B378" s="27">
        <v>46008</v>
      </c>
      <c r="C378" s="21" t="s">
        <v>49</v>
      </c>
      <c r="D378" s="57" t="s">
        <v>726</v>
      </c>
      <c r="E378" s="70" t="s">
        <v>901</v>
      </c>
      <c r="F378" s="89"/>
      <c r="G378" s="60"/>
      <c r="H378" s="60"/>
      <c r="I378" s="60"/>
      <c r="J378" s="60"/>
      <c r="K378" s="60"/>
      <c r="L378" s="61">
        <v>21</v>
      </c>
      <c r="M378" s="64"/>
      <c r="N378" s="61">
        <v>141.69999999999999</v>
      </c>
      <c r="O378" s="64"/>
      <c r="P378" s="64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59">
        <f t="shared" si="30"/>
        <v>46022</v>
      </c>
      <c r="AD378" s="57"/>
      <c r="AE378" s="60"/>
      <c r="AF378" s="59">
        <v>46022</v>
      </c>
      <c r="AG378" s="60"/>
      <c r="AH378" s="57"/>
      <c r="AI378" s="34"/>
      <c r="AJ378" s="34"/>
    </row>
    <row r="379" spans="1:36" s="2" customFormat="1" ht="16.5" x14ac:dyDescent="0.3">
      <c r="A379" s="27">
        <v>46013</v>
      </c>
      <c r="B379" s="27">
        <v>46008</v>
      </c>
      <c r="C379" s="21" t="s">
        <v>49</v>
      </c>
      <c r="D379" s="57" t="s">
        <v>727</v>
      </c>
      <c r="E379" s="70" t="s">
        <v>902</v>
      </c>
      <c r="F379" s="89"/>
      <c r="G379" s="60"/>
      <c r="H379" s="60"/>
      <c r="I379" s="60"/>
      <c r="J379" s="60"/>
      <c r="K379" s="60"/>
      <c r="L379" s="61">
        <v>12.9</v>
      </c>
      <c r="M379" s="64"/>
      <c r="N379" s="61">
        <v>19.600000000000001</v>
      </c>
      <c r="O379" s="64"/>
      <c r="P379" s="64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59">
        <f t="shared" si="30"/>
        <v>46022</v>
      </c>
      <c r="AD379" s="57"/>
      <c r="AE379" s="60"/>
      <c r="AF379" s="59">
        <v>46022</v>
      </c>
      <c r="AG379" s="60"/>
      <c r="AH379" s="57"/>
      <c r="AI379" s="34"/>
      <c r="AJ379" s="34"/>
    </row>
    <row r="380" spans="1:36" s="2" customFormat="1" ht="16.5" x14ac:dyDescent="0.3">
      <c r="A380" s="27">
        <v>46013</v>
      </c>
      <c r="B380" s="27">
        <v>46008</v>
      </c>
      <c r="C380" s="21" t="s">
        <v>49</v>
      </c>
      <c r="D380" s="57" t="s">
        <v>728</v>
      </c>
      <c r="E380" s="70" t="s">
        <v>903</v>
      </c>
      <c r="F380" s="89"/>
      <c r="G380" s="60"/>
      <c r="H380" s="60"/>
      <c r="I380" s="60"/>
      <c r="J380" s="60"/>
      <c r="K380" s="60"/>
      <c r="L380" s="61">
        <v>21.9</v>
      </c>
      <c r="M380" s="64"/>
      <c r="N380" s="61">
        <v>24.8</v>
      </c>
      <c r="O380" s="64"/>
      <c r="P380" s="64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59">
        <f t="shared" si="30"/>
        <v>46022</v>
      </c>
      <c r="AD380" s="57"/>
      <c r="AE380" s="60"/>
      <c r="AF380" s="59">
        <v>46022</v>
      </c>
      <c r="AG380" s="60"/>
      <c r="AH380" s="57"/>
      <c r="AI380" s="34"/>
      <c r="AJ380" s="34"/>
    </row>
    <row r="381" spans="1:36" s="2" customFormat="1" ht="16.5" x14ac:dyDescent="0.3">
      <c r="A381" s="27">
        <v>46013</v>
      </c>
      <c r="B381" s="27">
        <v>46008</v>
      </c>
      <c r="C381" s="21" t="s">
        <v>49</v>
      </c>
      <c r="D381" s="57" t="s">
        <v>729</v>
      </c>
      <c r="E381" s="70" t="s">
        <v>904</v>
      </c>
      <c r="F381" s="89"/>
      <c r="G381" s="60"/>
      <c r="H381" s="60"/>
      <c r="I381" s="60"/>
      <c r="J381" s="60"/>
      <c r="K381" s="60"/>
      <c r="L381" s="61">
        <v>26.3</v>
      </c>
      <c r="M381" s="64"/>
      <c r="N381" s="61">
        <v>21.8</v>
      </c>
      <c r="O381" s="64"/>
      <c r="P381" s="64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59">
        <f t="shared" si="30"/>
        <v>46022</v>
      </c>
      <c r="AD381" s="57"/>
      <c r="AE381" s="60"/>
      <c r="AF381" s="59">
        <v>46022</v>
      </c>
      <c r="AG381" s="60"/>
      <c r="AH381" s="57"/>
      <c r="AI381" s="34"/>
      <c r="AJ381" s="34"/>
    </row>
    <row r="382" spans="1:36" s="2" customFormat="1" ht="16.5" x14ac:dyDescent="0.3">
      <c r="A382" s="27">
        <v>46013</v>
      </c>
      <c r="B382" s="27">
        <v>46008</v>
      </c>
      <c r="C382" s="21" t="s">
        <v>49</v>
      </c>
      <c r="D382" s="57" t="s">
        <v>730</v>
      </c>
      <c r="E382" s="70" t="s">
        <v>905</v>
      </c>
      <c r="F382" s="89"/>
      <c r="G382" s="60"/>
      <c r="H382" s="60"/>
      <c r="I382" s="60"/>
      <c r="J382" s="60"/>
      <c r="K382" s="60"/>
      <c r="L382" s="61">
        <v>121</v>
      </c>
      <c r="M382" s="64"/>
      <c r="N382" s="61">
        <v>682.7</v>
      </c>
      <c r="O382" s="64"/>
      <c r="P382" s="64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59">
        <f t="shared" si="30"/>
        <v>46022</v>
      </c>
      <c r="AD382" s="57"/>
      <c r="AE382" s="60"/>
      <c r="AF382" s="59">
        <v>46022</v>
      </c>
      <c r="AG382" s="60"/>
      <c r="AH382" s="57"/>
      <c r="AI382" s="34"/>
      <c r="AJ382" s="34"/>
    </row>
    <row r="383" spans="1:36" s="2" customFormat="1" ht="16.5" x14ac:dyDescent="0.3">
      <c r="A383" s="27">
        <v>46013</v>
      </c>
      <c r="B383" s="27">
        <v>46008</v>
      </c>
      <c r="C383" s="21" t="s">
        <v>49</v>
      </c>
      <c r="D383" s="57" t="s">
        <v>731</v>
      </c>
      <c r="E383" s="70" t="s">
        <v>906</v>
      </c>
      <c r="F383" s="89"/>
      <c r="G383" s="60"/>
      <c r="H383" s="60"/>
      <c r="I383" s="60"/>
      <c r="J383" s="60"/>
      <c r="K383" s="60"/>
      <c r="L383" s="61">
        <v>16.399999999999999</v>
      </c>
      <c r="M383" s="64"/>
      <c r="N383" s="61">
        <v>36.1</v>
      </c>
      <c r="O383" s="64"/>
      <c r="P383" s="64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59">
        <f t="shared" si="30"/>
        <v>46022</v>
      </c>
      <c r="AD383" s="57"/>
      <c r="AE383" s="60"/>
      <c r="AF383" s="59">
        <v>46022</v>
      </c>
      <c r="AG383" s="60"/>
      <c r="AH383" s="57"/>
      <c r="AI383" s="34"/>
      <c r="AJ383" s="34"/>
    </row>
    <row r="384" spans="1:36" s="2" customFormat="1" ht="16.5" x14ac:dyDescent="0.3">
      <c r="A384" s="27">
        <v>46013</v>
      </c>
      <c r="B384" s="27">
        <v>46008</v>
      </c>
      <c r="C384" s="21" t="s">
        <v>49</v>
      </c>
      <c r="D384" s="57" t="s">
        <v>732</v>
      </c>
      <c r="E384" s="70" t="s">
        <v>907</v>
      </c>
      <c r="F384" s="89"/>
      <c r="G384" s="60"/>
      <c r="H384" s="60"/>
      <c r="I384" s="60"/>
      <c r="J384" s="60"/>
      <c r="K384" s="60"/>
      <c r="L384" s="61">
        <v>13.4</v>
      </c>
      <c r="M384" s="64"/>
      <c r="N384" s="61">
        <v>18.3</v>
      </c>
      <c r="O384" s="64"/>
      <c r="P384" s="64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59">
        <f t="shared" si="30"/>
        <v>46022</v>
      </c>
      <c r="AD384" s="57"/>
      <c r="AE384" s="60"/>
      <c r="AF384" s="59">
        <v>46022</v>
      </c>
      <c r="AG384" s="60"/>
      <c r="AH384" s="57"/>
      <c r="AI384" s="34"/>
      <c r="AJ384" s="34"/>
    </row>
    <row r="385" spans="1:36" s="2" customFormat="1" ht="16.5" x14ac:dyDescent="0.3">
      <c r="A385" s="27">
        <v>46013</v>
      </c>
      <c r="B385" s="27">
        <v>46008</v>
      </c>
      <c r="C385" s="21" t="s">
        <v>49</v>
      </c>
      <c r="D385" s="57" t="s">
        <v>733</v>
      </c>
      <c r="E385" s="70" t="s">
        <v>908</v>
      </c>
      <c r="F385" s="89"/>
      <c r="G385" s="60"/>
      <c r="H385" s="60"/>
      <c r="I385" s="60"/>
      <c r="J385" s="60"/>
      <c r="K385" s="60"/>
      <c r="L385" s="61">
        <v>20.5</v>
      </c>
      <c r="M385" s="64"/>
      <c r="N385" s="61">
        <v>58.7</v>
      </c>
      <c r="O385" s="64"/>
      <c r="P385" s="64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59">
        <f t="shared" si="30"/>
        <v>46022</v>
      </c>
      <c r="AD385" s="57"/>
      <c r="AE385" s="60"/>
      <c r="AF385" s="59">
        <v>46022</v>
      </c>
      <c r="AG385" s="60"/>
      <c r="AH385" s="57"/>
      <c r="AI385" s="34"/>
      <c r="AJ385" s="34"/>
    </row>
    <row r="386" spans="1:36" s="2" customFormat="1" ht="16.5" x14ac:dyDescent="0.3">
      <c r="A386" s="27">
        <v>46013</v>
      </c>
      <c r="B386" s="27">
        <v>46008</v>
      </c>
      <c r="C386" s="21" t="s">
        <v>49</v>
      </c>
      <c r="D386" s="57" t="s">
        <v>913</v>
      </c>
      <c r="E386" s="70" t="s">
        <v>912</v>
      </c>
      <c r="F386" s="89"/>
      <c r="G386" s="60"/>
      <c r="H386" s="60"/>
      <c r="I386" s="60"/>
      <c r="J386" s="60"/>
      <c r="K386" s="60"/>
      <c r="L386" s="61">
        <v>20.8</v>
      </c>
      <c r="M386" s="64"/>
      <c r="N386" s="61">
        <v>61.9</v>
      </c>
      <c r="O386" s="64"/>
      <c r="P386" s="64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59">
        <f t="shared" ref="AC386" si="31">B386+14</f>
        <v>46022</v>
      </c>
      <c r="AD386" s="57"/>
      <c r="AE386" s="60"/>
      <c r="AF386" s="59">
        <v>46022</v>
      </c>
      <c r="AG386" s="60"/>
      <c r="AH386" s="57"/>
      <c r="AI386" s="34"/>
      <c r="AJ386" s="34"/>
    </row>
    <row r="387" spans="1:36" s="2" customFormat="1" ht="16.5" x14ac:dyDescent="0.3">
      <c r="A387" s="27">
        <v>46013</v>
      </c>
      <c r="B387" s="27">
        <v>46008</v>
      </c>
      <c r="C387" s="21" t="s">
        <v>49</v>
      </c>
      <c r="D387" s="57" t="s">
        <v>734</v>
      </c>
      <c r="E387" s="70" t="s">
        <v>909</v>
      </c>
      <c r="F387" s="89"/>
      <c r="G387" s="60"/>
      <c r="H387" s="60"/>
      <c r="I387" s="60"/>
      <c r="J387" s="60"/>
      <c r="K387" s="60"/>
      <c r="L387" s="61">
        <v>21.6</v>
      </c>
      <c r="M387" s="63"/>
      <c r="N387" s="61">
        <v>18.2</v>
      </c>
      <c r="O387" s="64"/>
      <c r="P387" s="64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59">
        <f t="shared" si="30"/>
        <v>46022</v>
      </c>
      <c r="AD387" s="57"/>
      <c r="AE387" s="60"/>
      <c r="AF387" s="59">
        <v>46027</v>
      </c>
      <c r="AG387" s="60"/>
      <c r="AH387" s="57"/>
      <c r="AI387" s="34"/>
      <c r="AJ387" s="34"/>
    </row>
    <row r="388" spans="1:36" s="2" customFormat="1" ht="16.5" x14ac:dyDescent="0.3">
      <c r="A388" s="27">
        <v>46013</v>
      </c>
      <c r="B388" s="27">
        <v>46008</v>
      </c>
      <c r="C388" s="21" t="s">
        <v>49</v>
      </c>
      <c r="D388" s="57" t="s">
        <v>735</v>
      </c>
      <c r="E388" s="70" t="s">
        <v>910</v>
      </c>
      <c r="F388" s="89"/>
      <c r="G388" s="60"/>
      <c r="H388" s="60"/>
      <c r="I388" s="60"/>
      <c r="J388" s="60"/>
      <c r="K388" s="60"/>
      <c r="L388" s="61">
        <v>31.4</v>
      </c>
      <c r="M388" s="63"/>
      <c r="N388" s="61">
        <v>23.9</v>
      </c>
      <c r="O388" s="64"/>
      <c r="P388" s="64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59">
        <f t="shared" si="30"/>
        <v>46022</v>
      </c>
      <c r="AD388" s="57"/>
      <c r="AE388" s="60"/>
      <c r="AF388" s="59">
        <v>46027</v>
      </c>
      <c r="AG388" s="60"/>
      <c r="AH388" s="57"/>
      <c r="AI388" s="34"/>
      <c r="AJ388" s="34"/>
    </row>
    <row r="389" spans="1:36" s="2" customFormat="1" ht="16.5" x14ac:dyDescent="0.3">
      <c r="A389" s="27">
        <v>46013</v>
      </c>
      <c r="B389" s="27">
        <v>46008</v>
      </c>
      <c r="C389" s="21" t="s">
        <v>49</v>
      </c>
      <c r="D389" s="57" t="s">
        <v>736</v>
      </c>
      <c r="E389" s="70" t="s">
        <v>911</v>
      </c>
      <c r="F389" s="89"/>
      <c r="G389" s="60"/>
      <c r="H389" s="60"/>
      <c r="I389" s="60"/>
      <c r="J389" s="60"/>
      <c r="K389" s="60"/>
      <c r="L389" s="61">
        <v>9.8000000000000007</v>
      </c>
      <c r="M389" s="63"/>
      <c r="N389" s="61">
        <v>16.399999999999999</v>
      </c>
      <c r="O389" s="64"/>
      <c r="P389" s="64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59">
        <f t="shared" si="30"/>
        <v>46022</v>
      </c>
      <c r="AD389" s="57"/>
      <c r="AE389" s="60"/>
      <c r="AF389" s="59">
        <v>46027</v>
      </c>
      <c r="AG389" s="60"/>
      <c r="AH389" s="57"/>
      <c r="AI389" s="34"/>
      <c r="AJ389" s="34"/>
    </row>
    <row r="390" spans="1:36" s="2" customFormat="1" ht="16.5" x14ac:dyDescent="0.3">
      <c r="A390" s="27">
        <v>46013</v>
      </c>
      <c r="B390" s="27">
        <v>46008</v>
      </c>
      <c r="C390" s="21" t="s">
        <v>49</v>
      </c>
      <c r="D390" s="57" t="s">
        <v>737</v>
      </c>
      <c r="E390" s="70" t="s">
        <v>914</v>
      </c>
      <c r="F390" s="89"/>
      <c r="G390" s="60"/>
      <c r="H390" s="60"/>
      <c r="I390" s="60"/>
      <c r="J390" s="60"/>
      <c r="K390" s="60"/>
      <c r="L390" s="61">
        <v>82.3</v>
      </c>
      <c r="M390" s="63"/>
      <c r="N390" s="61">
        <v>592.70000000000005</v>
      </c>
      <c r="O390" s="64"/>
      <c r="P390" s="64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59">
        <f t="shared" si="30"/>
        <v>46022</v>
      </c>
      <c r="AD390" s="57"/>
      <c r="AE390" s="60"/>
      <c r="AF390" s="59">
        <v>46027</v>
      </c>
      <c r="AG390" s="60"/>
      <c r="AH390" s="57"/>
      <c r="AI390" s="34"/>
      <c r="AJ390" s="34"/>
    </row>
    <row r="391" spans="1:36" s="2" customFormat="1" ht="16.5" x14ac:dyDescent="0.3">
      <c r="A391" s="27">
        <v>46013</v>
      </c>
      <c r="B391" s="27">
        <v>46008</v>
      </c>
      <c r="C391" s="21" t="s">
        <v>49</v>
      </c>
      <c r="D391" s="57" t="s">
        <v>738</v>
      </c>
      <c r="E391" s="70" t="s">
        <v>915</v>
      </c>
      <c r="F391" s="89"/>
      <c r="G391" s="60"/>
      <c r="H391" s="60"/>
      <c r="I391" s="60"/>
      <c r="J391" s="60"/>
      <c r="K391" s="60"/>
      <c r="L391" s="61">
        <v>19.8</v>
      </c>
      <c r="M391" s="63"/>
      <c r="N391" s="61">
        <v>35.799999999999997</v>
      </c>
      <c r="O391" s="64"/>
      <c r="P391" s="64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59">
        <f t="shared" si="30"/>
        <v>46022</v>
      </c>
      <c r="AD391" s="57"/>
      <c r="AE391" s="60"/>
      <c r="AF391" s="59">
        <v>46027</v>
      </c>
      <c r="AG391" s="60"/>
      <c r="AH391" s="57"/>
      <c r="AI391" s="34"/>
      <c r="AJ391" s="34"/>
    </row>
    <row r="392" spans="1:36" s="2" customFormat="1" ht="16.5" x14ac:dyDescent="0.3">
      <c r="A392" s="27">
        <v>46013</v>
      </c>
      <c r="B392" s="27">
        <v>46008</v>
      </c>
      <c r="C392" s="21" t="s">
        <v>49</v>
      </c>
      <c r="D392" s="57" t="s">
        <v>739</v>
      </c>
      <c r="E392" s="70" t="s">
        <v>916</v>
      </c>
      <c r="F392" s="89"/>
      <c r="G392" s="60"/>
      <c r="H392" s="60"/>
      <c r="I392" s="60"/>
      <c r="J392" s="60"/>
      <c r="K392" s="60"/>
      <c r="L392" s="61">
        <v>22.4</v>
      </c>
      <c r="M392" s="63"/>
      <c r="N392" s="61">
        <v>34.5</v>
      </c>
      <c r="O392" s="64"/>
      <c r="P392" s="64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59">
        <f t="shared" si="30"/>
        <v>46022</v>
      </c>
      <c r="AD392" s="57"/>
      <c r="AE392" s="60"/>
      <c r="AF392" s="59">
        <v>46027</v>
      </c>
      <c r="AG392" s="60"/>
      <c r="AH392" s="57"/>
      <c r="AI392" s="34"/>
      <c r="AJ392" s="34"/>
    </row>
    <row r="393" spans="1:36" s="2" customFormat="1" ht="16.5" x14ac:dyDescent="0.3">
      <c r="A393" s="27">
        <v>46013</v>
      </c>
      <c r="B393" s="27">
        <v>46008</v>
      </c>
      <c r="C393" s="21" t="s">
        <v>49</v>
      </c>
      <c r="D393" s="57" t="s">
        <v>740</v>
      </c>
      <c r="E393" s="70" t="s">
        <v>917</v>
      </c>
      <c r="F393" s="89"/>
      <c r="G393" s="60"/>
      <c r="H393" s="60"/>
      <c r="I393" s="60"/>
      <c r="J393" s="60"/>
      <c r="K393" s="60"/>
      <c r="L393" s="61">
        <v>17.3</v>
      </c>
      <c r="M393" s="63"/>
      <c r="N393" s="61">
        <v>15.1</v>
      </c>
      <c r="O393" s="64"/>
      <c r="P393" s="64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59">
        <f t="shared" si="30"/>
        <v>46022</v>
      </c>
      <c r="AD393" s="57"/>
      <c r="AE393" s="60"/>
      <c r="AF393" s="59">
        <v>46027</v>
      </c>
      <c r="AG393" s="60"/>
      <c r="AH393" s="57"/>
      <c r="AI393" s="34"/>
      <c r="AJ393" s="34"/>
    </row>
    <row r="394" spans="1:36" s="2" customFormat="1" ht="16.5" x14ac:dyDescent="0.3">
      <c r="A394" s="27">
        <v>46013</v>
      </c>
      <c r="B394" s="27">
        <v>46008</v>
      </c>
      <c r="C394" s="21" t="s">
        <v>49</v>
      </c>
      <c r="D394" s="57" t="s">
        <v>741</v>
      </c>
      <c r="E394" s="70" t="s">
        <v>918</v>
      </c>
      <c r="F394" s="89"/>
      <c r="G394" s="60"/>
      <c r="H394" s="60"/>
      <c r="I394" s="60"/>
      <c r="J394" s="60"/>
      <c r="K394" s="60"/>
      <c r="L394" s="61">
        <v>19</v>
      </c>
      <c r="M394" s="63"/>
      <c r="N394" s="61">
        <v>32.799999999999997</v>
      </c>
      <c r="O394" s="64"/>
      <c r="P394" s="64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59">
        <f t="shared" si="30"/>
        <v>46022</v>
      </c>
      <c r="AD394" s="57"/>
      <c r="AE394" s="60"/>
      <c r="AF394" s="59">
        <v>46027</v>
      </c>
      <c r="AG394" s="60"/>
      <c r="AH394" s="57"/>
      <c r="AI394" s="34"/>
      <c r="AJ394" s="34"/>
    </row>
    <row r="395" spans="1:36" s="2" customFormat="1" ht="16.5" x14ac:dyDescent="0.3">
      <c r="A395" s="27">
        <v>46013</v>
      </c>
      <c r="B395" s="27">
        <v>46008</v>
      </c>
      <c r="C395" s="21" t="s">
        <v>49</v>
      </c>
      <c r="D395" s="57" t="s">
        <v>742</v>
      </c>
      <c r="E395" s="70" t="s">
        <v>919</v>
      </c>
      <c r="F395" s="89"/>
      <c r="G395" s="60"/>
      <c r="H395" s="60"/>
      <c r="I395" s="60"/>
      <c r="J395" s="60"/>
      <c r="K395" s="60"/>
      <c r="L395" s="61">
        <v>23.7</v>
      </c>
      <c r="M395" s="63"/>
      <c r="N395" s="61">
        <v>12.3</v>
      </c>
      <c r="O395" s="64"/>
      <c r="P395" s="64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59">
        <f t="shared" si="30"/>
        <v>46022</v>
      </c>
      <c r="AD395" s="57"/>
      <c r="AE395" s="60"/>
      <c r="AF395" s="59">
        <v>46027</v>
      </c>
      <c r="AG395" s="60"/>
      <c r="AH395" s="57"/>
      <c r="AI395" s="34"/>
      <c r="AJ395" s="34"/>
    </row>
    <row r="396" spans="1:36" s="2" customFormat="1" ht="16.5" x14ac:dyDescent="0.3">
      <c r="A396" s="27">
        <v>46013</v>
      </c>
      <c r="B396" s="27">
        <v>46008</v>
      </c>
      <c r="C396" s="21" t="s">
        <v>49</v>
      </c>
      <c r="D396" s="57" t="s">
        <v>743</v>
      </c>
      <c r="E396" s="70" t="s">
        <v>920</v>
      </c>
      <c r="F396" s="89"/>
      <c r="G396" s="60"/>
      <c r="H396" s="60"/>
      <c r="I396" s="60"/>
      <c r="J396" s="60"/>
      <c r="K396" s="60"/>
      <c r="L396" s="61">
        <v>79.400000000000006</v>
      </c>
      <c r="M396" s="63"/>
      <c r="N396" s="61">
        <v>465.6</v>
      </c>
      <c r="O396" s="64"/>
      <c r="P396" s="64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59">
        <f t="shared" si="30"/>
        <v>46022</v>
      </c>
      <c r="AD396" s="57"/>
      <c r="AE396" s="60"/>
      <c r="AF396" s="59">
        <v>46027</v>
      </c>
      <c r="AG396" s="60"/>
      <c r="AH396" s="57"/>
      <c r="AI396" s="34"/>
      <c r="AJ396" s="34"/>
    </row>
    <row r="397" spans="1:36" s="2" customFormat="1" ht="16.5" x14ac:dyDescent="0.3">
      <c r="A397" s="27">
        <v>46013</v>
      </c>
      <c r="B397" s="27">
        <v>46008</v>
      </c>
      <c r="C397" s="21" t="s">
        <v>49</v>
      </c>
      <c r="D397" s="57" t="s">
        <v>744</v>
      </c>
      <c r="E397" s="70" t="s">
        <v>921</v>
      </c>
      <c r="F397" s="89"/>
      <c r="G397" s="60"/>
      <c r="H397" s="60"/>
      <c r="I397" s="60"/>
      <c r="J397" s="60"/>
      <c r="K397" s="60"/>
      <c r="L397" s="61">
        <v>24.4</v>
      </c>
      <c r="M397" s="63"/>
      <c r="N397" s="61">
        <v>61.6</v>
      </c>
      <c r="O397" s="64"/>
      <c r="P397" s="64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59">
        <f t="shared" si="30"/>
        <v>46022</v>
      </c>
      <c r="AD397" s="57"/>
      <c r="AE397" s="60"/>
      <c r="AF397" s="59">
        <v>46027</v>
      </c>
      <c r="AG397" s="60"/>
      <c r="AH397" s="57"/>
      <c r="AI397" s="34"/>
      <c r="AJ397" s="34"/>
    </row>
    <row r="398" spans="1:36" s="2" customFormat="1" ht="16.5" x14ac:dyDescent="0.3">
      <c r="A398" s="27">
        <v>46013</v>
      </c>
      <c r="B398" s="27">
        <v>46008</v>
      </c>
      <c r="C398" s="21" t="s">
        <v>49</v>
      </c>
      <c r="D398" s="57" t="s">
        <v>745</v>
      </c>
      <c r="E398" s="70" t="s">
        <v>922</v>
      </c>
      <c r="F398" s="89"/>
      <c r="G398" s="60"/>
      <c r="H398" s="60"/>
      <c r="I398" s="60"/>
      <c r="J398" s="60"/>
      <c r="K398" s="60"/>
      <c r="L398" s="61">
        <v>21.9</v>
      </c>
      <c r="M398" s="63"/>
      <c r="N398" s="61">
        <v>47.9</v>
      </c>
      <c r="O398" s="64"/>
      <c r="P398" s="64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59">
        <f t="shared" si="30"/>
        <v>46022</v>
      </c>
      <c r="AD398" s="57"/>
      <c r="AE398" s="60"/>
      <c r="AF398" s="59">
        <v>46027</v>
      </c>
      <c r="AG398" s="60"/>
      <c r="AH398" s="57"/>
      <c r="AI398" s="34"/>
      <c r="AJ398" s="34"/>
    </row>
    <row r="399" spans="1:36" s="2" customFormat="1" ht="16.5" x14ac:dyDescent="0.3">
      <c r="A399" s="27">
        <v>46013</v>
      </c>
      <c r="B399" s="27">
        <v>46008</v>
      </c>
      <c r="C399" s="21" t="s">
        <v>49</v>
      </c>
      <c r="D399" s="57" t="s">
        <v>746</v>
      </c>
      <c r="E399" s="70" t="s">
        <v>923</v>
      </c>
      <c r="F399" s="89"/>
      <c r="G399" s="60"/>
      <c r="H399" s="60"/>
      <c r="I399" s="60"/>
      <c r="J399" s="60"/>
      <c r="K399" s="60"/>
      <c r="L399" s="61">
        <v>18.2</v>
      </c>
      <c r="M399" s="63"/>
      <c r="N399" s="61">
        <v>31.2</v>
      </c>
      <c r="O399" s="64"/>
      <c r="P399" s="64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59">
        <f t="shared" si="30"/>
        <v>46022</v>
      </c>
      <c r="AD399" s="57"/>
      <c r="AE399" s="60"/>
      <c r="AF399" s="59">
        <v>46027</v>
      </c>
      <c r="AG399" s="60"/>
      <c r="AH399" s="57"/>
      <c r="AI399" s="34"/>
      <c r="AJ399" s="34"/>
    </row>
    <row r="400" spans="1:36" s="2" customFormat="1" ht="16.5" x14ac:dyDescent="0.3">
      <c r="A400" s="27">
        <v>46013</v>
      </c>
      <c r="B400" s="27">
        <v>46008</v>
      </c>
      <c r="C400" s="21" t="s">
        <v>49</v>
      </c>
      <c r="D400" s="57" t="s">
        <v>747</v>
      </c>
      <c r="E400" s="70" t="s">
        <v>924</v>
      </c>
      <c r="F400" s="89"/>
      <c r="G400" s="60"/>
      <c r="H400" s="60"/>
      <c r="I400" s="60"/>
      <c r="J400" s="60"/>
      <c r="K400" s="60"/>
      <c r="L400" s="61">
        <v>11.8</v>
      </c>
      <c r="M400" s="63"/>
      <c r="N400" s="61">
        <v>9.6</v>
      </c>
      <c r="O400" s="64"/>
      <c r="P400" s="64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59">
        <f t="shared" si="30"/>
        <v>46022</v>
      </c>
      <c r="AD400" s="57"/>
      <c r="AE400" s="60"/>
      <c r="AF400" s="59">
        <v>46027</v>
      </c>
      <c r="AG400" s="60"/>
      <c r="AH400" s="57"/>
      <c r="AI400" s="34"/>
      <c r="AJ400" s="34"/>
    </row>
    <row r="401" spans="1:36" s="2" customFormat="1" ht="16.5" x14ac:dyDescent="0.3">
      <c r="A401" s="27">
        <v>46013</v>
      </c>
      <c r="B401" s="27">
        <v>46008</v>
      </c>
      <c r="C401" s="21" t="s">
        <v>49</v>
      </c>
      <c r="D401" s="57" t="s">
        <v>748</v>
      </c>
      <c r="E401" s="70" t="s">
        <v>925</v>
      </c>
      <c r="F401" s="89"/>
      <c r="G401" s="60"/>
      <c r="H401" s="60"/>
      <c r="I401" s="60"/>
      <c r="J401" s="60"/>
      <c r="K401" s="60"/>
      <c r="L401" s="61">
        <v>281.39999999999998</v>
      </c>
      <c r="M401" s="63"/>
      <c r="N401" s="61">
        <v>1292.4000000000001</v>
      </c>
      <c r="O401" s="64"/>
      <c r="P401" s="64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59">
        <f t="shared" si="30"/>
        <v>46022</v>
      </c>
      <c r="AD401" s="57"/>
      <c r="AE401" s="60"/>
      <c r="AF401" s="59">
        <v>46027</v>
      </c>
      <c r="AG401" s="60"/>
      <c r="AH401" s="57"/>
      <c r="AI401" s="34"/>
      <c r="AJ401" s="34"/>
    </row>
    <row r="402" spans="1:36" s="2" customFormat="1" ht="16.5" x14ac:dyDescent="0.3">
      <c r="A402" s="27">
        <v>46013</v>
      </c>
      <c r="B402" s="27">
        <v>46008</v>
      </c>
      <c r="C402" s="21" t="s">
        <v>49</v>
      </c>
      <c r="D402" s="57" t="s">
        <v>749</v>
      </c>
      <c r="E402" s="70" t="s">
        <v>926</v>
      </c>
      <c r="F402" s="89"/>
      <c r="G402" s="60"/>
      <c r="H402" s="60"/>
      <c r="I402" s="60"/>
      <c r="J402" s="60"/>
      <c r="K402" s="60"/>
      <c r="L402" s="61">
        <v>24.3</v>
      </c>
      <c r="M402" s="63"/>
      <c r="N402" s="61">
        <v>61.4</v>
      </c>
      <c r="O402" s="64"/>
      <c r="P402" s="64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59">
        <f t="shared" si="30"/>
        <v>46022</v>
      </c>
      <c r="AD402" s="57"/>
      <c r="AE402" s="60"/>
      <c r="AF402" s="59">
        <v>46027</v>
      </c>
      <c r="AG402" s="60"/>
      <c r="AH402" s="57"/>
      <c r="AI402" s="34"/>
      <c r="AJ402" s="34"/>
    </row>
    <row r="403" spans="1:36" s="2" customFormat="1" ht="16.5" x14ac:dyDescent="0.3">
      <c r="A403" s="27">
        <v>46013</v>
      </c>
      <c r="B403" s="27">
        <v>46008</v>
      </c>
      <c r="C403" s="21" t="s">
        <v>49</v>
      </c>
      <c r="D403" s="57" t="s">
        <v>750</v>
      </c>
      <c r="E403" s="70" t="s">
        <v>927</v>
      </c>
      <c r="F403" s="89"/>
      <c r="G403" s="60"/>
      <c r="H403" s="60"/>
      <c r="I403" s="60"/>
      <c r="J403" s="60"/>
      <c r="K403" s="60"/>
      <c r="L403" s="61">
        <v>14.8</v>
      </c>
      <c r="M403" s="63"/>
      <c r="N403" s="61">
        <v>14.3</v>
      </c>
      <c r="O403" s="64"/>
      <c r="P403" s="64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59">
        <f t="shared" si="30"/>
        <v>46022</v>
      </c>
      <c r="AD403" s="57"/>
      <c r="AE403" s="60"/>
      <c r="AF403" s="59">
        <v>46027</v>
      </c>
      <c r="AG403" s="60"/>
      <c r="AH403" s="57"/>
      <c r="AI403" s="34"/>
      <c r="AJ403" s="34"/>
    </row>
    <row r="404" spans="1:36" s="2" customFormat="1" ht="16.5" x14ac:dyDescent="0.3">
      <c r="A404" s="27">
        <v>46013</v>
      </c>
      <c r="B404" s="27">
        <v>46008</v>
      </c>
      <c r="C404" s="21" t="s">
        <v>49</v>
      </c>
      <c r="D404" s="57" t="s">
        <v>751</v>
      </c>
      <c r="E404" s="70" t="s">
        <v>928</v>
      </c>
      <c r="F404" s="89"/>
      <c r="G404" s="60"/>
      <c r="H404" s="60"/>
      <c r="I404" s="60"/>
      <c r="J404" s="60"/>
      <c r="K404" s="60"/>
      <c r="L404" s="61">
        <v>18.600000000000001</v>
      </c>
      <c r="M404" s="63"/>
      <c r="N404" s="61">
        <v>22.9</v>
      </c>
      <c r="O404" s="64"/>
      <c r="P404" s="64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59">
        <f t="shared" si="30"/>
        <v>46022</v>
      </c>
      <c r="AD404" s="57"/>
      <c r="AE404" s="60"/>
      <c r="AF404" s="59">
        <v>46027</v>
      </c>
      <c r="AG404" s="60"/>
      <c r="AH404" s="57"/>
      <c r="AI404" s="34"/>
      <c r="AJ404" s="34"/>
    </row>
    <row r="405" spans="1:36" s="2" customFormat="1" ht="16.5" x14ac:dyDescent="0.3">
      <c r="A405" s="27">
        <v>46013</v>
      </c>
      <c r="B405" s="27">
        <v>46008</v>
      </c>
      <c r="C405" s="21" t="s">
        <v>49</v>
      </c>
      <c r="D405" s="57" t="s">
        <v>931</v>
      </c>
      <c r="E405" s="70" t="s">
        <v>932</v>
      </c>
      <c r="F405" s="89"/>
      <c r="G405" s="60"/>
      <c r="H405" s="60"/>
      <c r="I405" s="60"/>
      <c r="J405" s="60"/>
      <c r="K405" s="60"/>
      <c r="L405" s="61">
        <v>18.100000000000001</v>
      </c>
      <c r="M405" s="63"/>
      <c r="N405" s="61">
        <v>21.7</v>
      </c>
      <c r="O405" s="64"/>
      <c r="P405" s="64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59">
        <f t="shared" ref="AC405" si="32">B405+14</f>
        <v>46022</v>
      </c>
      <c r="AD405" s="57"/>
      <c r="AE405" s="60"/>
      <c r="AF405" s="59">
        <v>46027</v>
      </c>
      <c r="AG405" s="60"/>
      <c r="AH405" s="57"/>
      <c r="AI405" s="34"/>
      <c r="AJ405" s="34"/>
    </row>
    <row r="406" spans="1:36" s="2" customFormat="1" ht="16.5" x14ac:dyDescent="0.3">
      <c r="A406" s="27">
        <v>46013</v>
      </c>
      <c r="B406" s="27">
        <v>46008</v>
      </c>
      <c r="C406" s="21" t="s">
        <v>49</v>
      </c>
      <c r="D406" s="57" t="s">
        <v>752</v>
      </c>
      <c r="E406" s="70" t="s">
        <v>929</v>
      </c>
      <c r="F406" s="89"/>
      <c r="G406" s="60"/>
      <c r="H406" s="60"/>
      <c r="I406" s="60"/>
      <c r="J406" s="60"/>
      <c r="K406" s="60"/>
      <c r="L406" s="61">
        <v>16.2</v>
      </c>
      <c r="M406" s="63"/>
      <c r="N406" s="61">
        <v>11.4</v>
      </c>
      <c r="O406" s="64"/>
      <c r="P406" s="64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59">
        <f t="shared" si="30"/>
        <v>46022</v>
      </c>
      <c r="AD406" s="57"/>
      <c r="AE406" s="60"/>
      <c r="AF406" s="59">
        <v>46027</v>
      </c>
      <c r="AG406" s="60"/>
      <c r="AH406" s="57"/>
      <c r="AI406" s="34"/>
      <c r="AJ406" s="34"/>
    </row>
    <row r="407" spans="1:36" s="2" customFormat="1" ht="16.5" x14ac:dyDescent="0.3">
      <c r="A407" s="27">
        <v>46013</v>
      </c>
      <c r="B407" s="27">
        <v>46008</v>
      </c>
      <c r="C407" s="21" t="s">
        <v>49</v>
      </c>
      <c r="D407" s="57" t="s">
        <v>753</v>
      </c>
      <c r="E407" s="70" t="s">
        <v>930</v>
      </c>
      <c r="F407" s="89"/>
      <c r="G407" s="60"/>
      <c r="H407" s="60"/>
      <c r="I407" s="60"/>
      <c r="J407" s="60"/>
      <c r="K407" s="60"/>
      <c r="L407" s="61">
        <v>15.5</v>
      </c>
      <c r="M407" s="63"/>
      <c r="N407" s="61">
        <v>12.7</v>
      </c>
      <c r="O407" s="64"/>
      <c r="P407" s="64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59">
        <f t="shared" si="30"/>
        <v>46022</v>
      </c>
      <c r="AD407" s="57"/>
      <c r="AE407" s="60"/>
      <c r="AF407" s="59">
        <v>46027</v>
      </c>
      <c r="AG407" s="60"/>
      <c r="AH407" s="57"/>
      <c r="AI407" s="34"/>
      <c r="AJ407" s="34"/>
    </row>
    <row r="408" spans="1:36" s="2" customFormat="1" ht="16.5" x14ac:dyDescent="0.3">
      <c r="A408" s="27">
        <v>46013</v>
      </c>
      <c r="B408" s="27">
        <v>46008</v>
      </c>
      <c r="C408" s="21" t="s">
        <v>49</v>
      </c>
      <c r="D408" s="57" t="s">
        <v>754</v>
      </c>
      <c r="E408" s="70" t="s">
        <v>933</v>
      </c>
      <c r="F408" s="89"/>
      <c r="G408" s="60"/>
      <c r="H408" s="60"/>
      <c r="I408" s="60"/>
      <c r="J408" s="60"/>
      <c r="K408" s="60"/>
      <c r="L408" s="61">
        <v>16.399999999999999</v>
      </c>
      <c r="M408" s="63"/>
      <c r="N408" s="61">
        <v>20.6</v>
      </c>
      <c r="O408" s="64"/>
      <c r="P408" s="64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59">
        <f t="shared" si="30"/>
        <v>46022</v>
      </c>
      <c r="AD408" s="57"/>
      <c r="AE408" s="60"/>
      <c r="AF408" s="59">
        <v>46027</v>
      </c>
      <c r="AG408" s="60"/>
      <c r="AH408" s="57"/>
      <c r="AI408" s="34"/>
      <c r="AJ408" s="34"/>
    </row>
    <row r="409" spans="1:36" s="2" customFormat="1" ht="16.5" x14ac:dyDescent="0.3">
      <c r="A409" s="27">
        <v>46013</v>
      </c>
      <c r="B409" s="27">
        <v>46008</v>
      </c>
      <c r="C409" s="21" t="s">
        <v>49</v>
      </c>
      <c r="D409" s="57" t="s">
        <v>755</v>
      </c>
      <c r="E409" s="70" t="s">
        <v>934</v>
      </c>
      <c r="F409" s="89"/>
      <c r="G409" s="60"/>
      <c r="H409" s="60"/>
      <c r="I409" s="60"/>
      <c r="J409" s="60"/>
      <c r="K409" s="60"/>
      <c r="L409" s="61">
        <v>12.6</v>
      </c>
      <c r="M409" s="63"/>
      <c r="N409" s="61">
        <v>12.4</v>
      </c>
      <c r="O409" s="64"/>
      <c r="P409" s="64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59">
        <f t="shared" si="30"/>
        <v>46022</v>
      </c>
      <c r="AD409" s="57"/>
      <c r="AE409" s="60"/>
      <c r="AF409" s="59">
        <v>46027</v>
      </c>
      <c r="AG409" s="60"/>
      <c r="AH409" s="57"/>
      <c r="AI409" s="34"/>
      <c r="AJ409" s="34"/>
    </row>
    <row r="410" spans="1:36" s="2" customFormat="1" ht="16.5" x14ac:dyDescent="0.3">
      <c r="A410" s="27">
        <v>46013</v>
      </c>
      <c r="B410" s="27">
        <v>46008</v>
      </c>
      <c r="C410" s="21" t="s">
        <v>49</v>
      </c>
      <c r="D410" s="57" t="s">
        <v>756</v>
      </c>
      <c r="E410" s="70" t="s">
        <v>935</v>
      </c>
      <c r="F410" s="89"/>
      <c r="G410" s="60"/>
      <c r="H410" s="60"/>
      <c r="I410" s="60"/>
      <c r="J410" s="60"/>
      <c r="K410" s="60"/>
      <c r="L410" s="61">
        <v>11.4</v>
      </c>
      <c r="M410" s="63"/>
      <c r="N410" s="61">
        <v>10.8</v>
      </c>
      <c r="O410" s="64"/>
      <c r="P410" s="64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59">
        <f t="shared" si="30"/>
        <v>46022</v>
      </c>
      <c r="AD410" s="57"/>
      <c r="AE410" s="60"/>
      <c r="AF410" s="59">
        <v>46027</v>
      </c>
      <c r="AG410" s="60"/>
      <c r="AH410" s="57"/>
      <c r="AI410" s="34"/>
      <c r="AJ410" s="34"/>
    </row>
    <row r="411" spans="1:36" s="2" customFormat="1" ht="16.5" x14ac:dyDescent="0.3">
      <c r="A411" s="27">
        <v>46013</v>
      </c>
      <c r="B411" s="27">
        <v>46008</v>
      </c>
      <c r="C411" s="21" t="s">
        <v>49</v>
      </c>
      <c r="D411" s="57" t="s">
        <v>757</v>
      </c>
      <c r="E411" s="70" t="s">
        <v>936</v>
      </c>
      <c r="F411" s="89"/>
      <c r="G411" s="60"/>
      <c r="H411" s="60"/>
      <c r="I411" s="60"/>
      <c r="J411" s="60"/>
      <c r="K411" s="60"/>
      <c r="L411" s="61">
        <v>14.2</v>
      </c>
      <c r="M411" s="63"/>
      <c r="N411" s="61">
        <v>10.3</v>
      </c>
      <c r="O411" s="64"/>
      <c r="P411" s="64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59">
        <f t="shared" si="30"/>
        <v>46022</v>
      </c>
      <c r="AD411" s="57"/>
      <c r="AE411" s="60"/>
      <c r="AF411" s="59">
        <v>46027</v>
      </c>
      <c r="AG411" s="60"/>
      <c r="AH411" s="57"/>
      <c r="AI411" s="34"/>
      <c r="AJ411" s="34"/>
    </row>
    <row r="412" spans="1:36" s="2" customFormat="1" ht="16.5" x14ac:dyDescent="0.3">
      <c r="A412" s="27">
        <v>46013</v>
      </c>
      <c r="B412" s="27">
        <v>46008</v>
      </c>
      <c r="C412" s="21" t="s">
        <v>49</v>
      </c>
      <c r="D412" s="57" t="s">
        <v>758</v>
      </c>
      <c r="E412" s="70" t="s">
        <v>937</v>
      </c>
      <c r="F412" s="89"/>
      <c r="G412" s="60"/>
      <c r="H412" s="60"/>
      <c r="I412" s="60"/>
      <c r="J412" s="60"/>
      <c r="K412" s="60"/>
      <c r="L412" s="61">
        <v>13.5</v>
      </c>
      <c r="M412" s="63"/>
      <c r="N412" s="61">
        <v>10.3</v>
      </c>
      <c r="O412" s="64"/>
      <c r="P412" s="64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59">
        <f t="shared" si="30"/>
        <v>46022</v>
      </c>
      <c r="AD412" s="57"/>
      <c r="AE412" s="60"/>
      <c r="AF412" s="59">
        <v>46027</v>
      </c>
      <c r="AG412" s="60"/>
      <c r="AH412" s="57"/>
      <c r="AI412" s="34"/>
      <c r="AJ412" s="34"/>
    </row>
    <row r="413" spans="1:36" s="2" customFormat="1" ht="16.5" x14ac:dyDescent="0.3">
      <c r="A413" s="27">
        <v>46013</v>
      </c>
      <c r="B413" s="27">
        <v>46008</v>
      </c>
      <c r="C413" s="21" t="s">
        <v>49</v>
      </c>
      <c r="D413" s="57" t="s">
        <v>759</v>
      </c>
      <c r="E413" s="70" t="s">
        <v>938</v>
      </c>
      <c r="F413" s="89"/>
      <c r="G413" s="60"/>
      <c r="H413" s="60"/>
      <c r="I413" s="60"/>
      <c r="J413" s="60"/>
      <c r="K413" s="60"/>
      <c r="L413" s="61">
        <v>18.2</v>
      </c>
      <c r="M413" s="63"/>
      <c r="N413" s="61">
        <v>11.2</v>
      </c>
      <c r="O413" s="64"/>
      <c r="P413" s="64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59">
        <f t="shared" si="30"/>
        <v>46022</v>
      </c>
      <c r="AD413" s="57"/>
      <c r="AE413" s="60"/>
      <c r="AF413" s="59">
        <v>46027</v>
      </c>
      <c r="AG413" s="60"/>
      <c r="AH413" s="57"/>
      <c r="AI413" s="34"/>
      <c r="AJ413" s="34"/>
    </row>
    <row r="414" spans="1:36" s="2" customFormat="1" ht="16.5" x14ac:dyDescent="0.3">
      <c r="A414" s="27">
        <v>46013</v>
      </c>
      <c r="B414" s="27">
        <v>46008</v>
      </c>
      <c r="C414" s="21" t="s">
        <v>49</v>
      </c>
      <c r="D414" s="57" t="s">
        <v>760</v>
      </c>
      <c r="E414" s="70" t="s">
        <v>939</v>
      </c>
      <c r="F414" s="89"/>
      <c r="G414" s="60"/>
      <c r="H414" s="60"/>
      <c r="I414" s="60"/>
      <c r="J414" s="60"/>
      <c r="K414" s="60"/>
      <c r="L414" s="61">
        <v>33.700000000000003</v>
      </c>
      <c r="M414" s="63"/>
      <c r="N414" s="61">
        <v>3.4</v>
      </c>
      <c r="O414" s="64"/>
      <c r="P414" s="64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59">
        <f t="shared" si="30"/>
        <v>46022</v>
      </c>
      <c r="AD414" s="57"/>
      <c r="AE414" s="60"/>
      <c r="AF414" s="59">
        <v>46027</v>
      </c>
      <c r="AG414" s="60"/>
      <c r="AH414" s="57"/>
      <c r="AI414" s="34"/>
      <c r="AJ414" s="34"/>
    </row>
    <row r="415" spans="1:36" s="2" customFormat="1" ht="16.5" x14ac:dyDescent="0.3">
      <c r="A415" s="27">
        <v>46013</v>
      </c>
      <c r="B415" s="27">
        <v>46008</v>
      </c>
      <c r="C415" s="21" t="s">
        <v>49</v>
      </c>
      <c r="D415" s="57" t="s">
        <v>940</v>
      </c>
      <c r="E415" s="70" t="s">
        <v>941</v>
      </c>
      <c r="F415" s="89"/>
      <c r="G415" s="60"/>
      <c r="H415" s="60"/>
      <c r="I415" s="60"/>
      <c r="J415" s="60"/>
      <c r="K415" s="60"/>
      <c r="L415" s="61">
        <v>33.1</v>
      </c>
      <c r="M415" s="63"/>
      <c r="N415" s="61">
        <v>3.5</v>
      </c>
      <c r="O415" s="64"/>
      <c r="P415" s="64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59">
        <f t="shared" ref="AC415" si="33">B415+14</f>
        <v>46022</v>
      </c>
      <c r="AD415" s="57"/>
      <c r="AE415" s="60"/>
      <c r="AF415" s="59">
        <v>46027</v>
      </c>
      <c r="AG415" s="60"/>
      <c r="AH415" s="57"/>
      <c r="AI415" s="34"/>
      <c r="AJ415" s="34"/>
    </row>
    <row r="416" spans="1:36" s="2" customFormat="1" ht="16.5" x14ac:dyDescent="0.3">
      <c r="A416" s="27">
        <v>46013</v>
      </c>
      <c r="B416" s="27">
        <v>46009</v>
      </c>
      <c r="C416" s="21" t="s">
        <v>49</v>
      </c>
      <c r="D416" s="57" t="s">
        <v>761</v>
      </c>
      <c r="E416" s="70" t="s">
        <v>942</v>
      </c>
      <c r="F416" s="89"/>
      <c r="G416" s="60"/>
      <c r="H416" s="60"/>
      <c r="I416" s="60"/>
      <c r="J416" s="60"/>
      <c r="K416" s="60"/>
      <c r="L416" s="61">
        <v>20.7</v>
      </c>
      <c r="M416" s="63"/>
      <c r="N416" s="61">
        <v>59.3</v>
      </c>
      <c r="O416" s="64"/>
      <c r="P416" s="64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59">
        <f t="shared" si="30"/>
        <v>46023</v>
      </c>
      <c r="AD416" s="57"/>
      <c r="AE416" s="60"/>
      <c r="AF416" s="59">
        <v>46027</v>
      </c>
      <c r="AG416" s="60"/>
      <c r="AH416" s="57"/>
      <c r="AI416" s="34"/>
      <c r="AJ416" s="34"/>
    </row>
    <row r="417" spans="1:36" s="2" customFormat="1" ht="16.5" x14ac:dyDescent="0.3">
      <c r="A417" s="27">
        <v>46013</v>
      </c>
      <c r="B417" s="27">
        <v>46009</v>
      </c>
      <c r="C417" s="21" t="s">
        <v>49</v>
      </c>
      <c r="D417" s="57" t="s">
        <v>762</v>
      </c>
      <c r="E417" s="70" t="s">
        <v>943</v>
      </c>
      <c r="F417" s="89"/>
      <c r="G417" s="60"/>
      <c r="H417" s="60"/>
      <c r="I417" s="60"/>
      <c r="J417" s="60"/>
      <c r="K417" s="60"/>
      <c r="L417" s="61">
        <v>14</v>
      </c>
      <c r="M417" s="63"/>
      <c r="N417" s="61">
        <v>23.9</v>
      </c>
      <c r="O417" s="64"/>
      <c r="P417" s="64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59">
        <f t="shared" si="30"/>
        <v>46023</v>
      </c>
      <c r="AD417" s="57"/>
      <c r="AE417" s="60"/>
      <c r="AF417" s="59">
        <v>46027</v>
      </c>
      <c r="AG417" s="60"/>
      <c r="AH417" s="57"/>
      <c r="AI417" s="34"/>
      <c r="AJ417" s="34"/>
    </row>
    <row r="418" spans="1:36" s="2" customFormat="1" ht="16.5" x14ac:dyDescent="0.3">
      <c r="A418" s="27">
        <v>46013</v>
      </c>
      <c r="B418" s="27">
        <v>46009</v>
      </c>
      <c r="C418" s="21" t="s">
        <v>49</v>
      </c>
      <c r="D418" s="57" t="s">
        <v>763</v>
      </c>
      <c r="E418" s="70" t="s">
        <v>944</v>
      </c>
      <c r="F418" s="89"/>
      <c r="G418" s="60"/>
      <c r="H418" s="60"/>
      <c r="I418" s="60"/>
      <c r="J418" s="60"/>
      <c r="K418" s="60"/>
      <c r="L418" s="61">
        <v>12.5</v>
      </c>
      <c r="M418" s="63"/>
      <c r="N418" s="61">
        <v>13.8</v>
      </c>
      <c r="O418" s="64"/>
      <c r="P418" s="64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59">
        <f t="shared" si="30"/>
        <v>46023</v>
      </c>
      <c r="AD418" s="57"/>
      <c r="AE418" s="60"/>
      <c r="AF418" s="59">
        <v>46027</v>
      </c>
      <c r="AG418" s="60"/>
      <c r="AH418" s="57"/>
      <c r="AI418" s="34"/>
      <c r="AJ418" s="34"/>
    </row>
    <row r="419" spans="1:36" s="2" customFormat="1" ht="16.5" x14ac:dyDescent="0.3">
      <c r="A419" s="27">
        <v>46013</v>
      </c>
      <c r="B419" s="27">
        <v>46009</v>
      </c>
      <c r="C419" s="21" t="s">
        <v>49</v>
      </c>
      <c r="D419" s="57" t="s">
        <v>764</v>
      </c>
      <c r="E419" s="70" t="s">
        <v>945</v>
      </c>
      <c r="F419" s="89"/>
      <c r="G419" s="60"/>
      <c r="H419" s="60"/>
      <c r="I419" s="60"/>
      <c r="J419" s="60"/>
      <c r="K419" s="60"/>
      <c r="L419" s="61">
        <v>13.5</v>
      </c>
      <c r="M419" s="63"/>
      <c r="N419" s="61">
        <v>14.8</v>
      </c>
      <c r="O419" s="64"/>
      <c r="P419" s="64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59">
        <f t="shared" si="30"/>
        <v>46023</v>
      </c>
      <c r="AD419" s="57"/>
      <c r="AE419" s="60"/>
      <c r="AF419" s="59">
        <v>46027</v>
      </c>
      <c r="AG419" s="60"/>
      <c r="AH419" s="57"/>
      <c r="AI419" s="34"/>
      <c r="AJ419" s="34"/>
    </row>
    <row r="420" spans="1:36" s="2" customFormat="1" ht="16.5" x14ac:dyDescent="0.3">
      <c r="A420" s="27">
        <v>46013</v>
      </c>
      <c r="B420" s="27">
        <v>46009</v>
      </c>
      <c r="C420" s="21" t="s">
        <v>49</v>
      </c>
      <c r="D420" s="57" t="s">
        <v>765</v>
      </c>
      <c r="E420" s="70" t="s">
        <v>946</v>
      </c>
      <c r="F420" s="89"/>
      <c r="G420" s="60"/>
      <c r="H420" s="60"/>
      <c r="I420" s="60"/>
      <c r="J420" s="60"/>
      <c r="K420" s="60"/>
      <c r="L420" s="61">
        <v>13.3</v>
      </c>
      <c r="M420" s="63"/>
      <c r="N420" s="61">
        <v>11.8</v>
      </c>
      <c r="O420" s="64"/>
      <c r="P420" s="64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59">
        <f t="shared" si="30"/>
        <v>46023</v>
      </c>
      <c r="AD420" s="57"/>
      <c r="AE420" s="60"/>
      <c r="AF420" s="59">
        <v>46027</v>
      </c>
      <c r="AG420" s="60"/>
      <c r="AH420" s="57"/>
      <c r="AI420" s="34"/>
      <c r="AJ420" s="34"/>
    </row>
    <row r="421" spans="1:36" s="2" customFormat="1" ht="16.5" x14ac:dyDescent="0.3">
      <c r="A421" s="27">
        <v>46013</v>
      </c>
      <c r="B421" s="27">
        <v>46009</v>
      </c>
      <c r="C421" s="21" t="s">
        <v>49</v>
      </c>
      <c r="D421" s="57" t="s">
        <v>766</v>
      </c>
      <c r="E421" s="70" t="s">
        <v>947</v>
      </c>
      <c r="F421" s="89"/>
      <c r="G421" s="60"/>
      <c r="H421" s="60"/>
      <c r="I421" s="60"/>
      <c r="J421" s="60"/>
      <c r="K421" s="60"/>
      <c r="L421" s="61">
        <v>16.399999999999999</v>
      </c>
      <c r="M421" s="63"/>
      <c r="N421" s="61">
        <v>11.5</v>
      </c>
      <c r="O421" s="64"/>
      <c r="P421" s="64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59">
        <f t="shared" si="30"/>
        <v>46023</v>
      </c>
      <c r="AD421" s="57"/>
      <c r="AE421" s="60"/>
      <c r="AF421" s="59">
        <v>46027</v>
      </c>
      <c r="AG421" s="60"/>
      <c r="AH421" s="57"/>
      <c r="AI421" s="34"/>
      <c r="AJ421" s="34"/>
    </row>
    <row r="422" spans="1:36" s="2" customFormat="1" ht="16.5" x14ac:dyDescent="0.3">
      <c r="A422" s="27">
        <v>46013</v>
      </c>
      <c r="B422" s="27">
        <v>46009</v>
      </c>
      <c r="C422" s="21" t="s">
        <v>49</v>
      </c>
      <c r="D422" s="57" t="s">
        <v>767</v>
      </c>
      <c r="E422" s="70" t="s">
        <v>948</v>
      </c>
      <c r="F422" s="89"/>
      <c r="G422" s="60"/>
      <c r="H422" s="60"/>
      <c r="I422" s="60"/>
      <c r="J422" s="60"/>
      <c r="K422" s="60"/>
      <c r="L422" s="61">
        <v>19.7</v>
      </c>
      <c r="M422" s="63"/>
      <c r="N422" s="61">
        <v>14.8</v>
      </c>
      <c r="O422" s="64"/>
      <c r="P422" s="64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59">
        <f t="shared" si="30"/>
        <v>46023</v>
      </c>
      <c r="AD422" s="57"/>
      <c r="AE422" s="60"/>
      <c r="AF422" s="59">
        <v>46027</v>
      </c>
      <c r="AG422" s="60"/>
      <c r="AH422" s="57"/>
      <c r="AI422" s="34"/>
      <c r="AJ422" s="34"/>
    </row>
    <row r="423" spans="1:36" s="2" customFormat="1" ht="16.5" x14ac:dyDescent="0.3">
      <c r="A423" s="27">
        <v>46013</v>
      </c>
      <c r="B423" s="27">
        <v>46009</v>
      </c>
      <c r="C423" s="21" t="s">
        <v>49</v>
      </c>
      <c r="D423" s="57" t="s">
        <v>768</v>
      </c>
      <c r="E423" s="70" t="s">
        <v>949</v>
      </c>
      <c r="F423" s="89"/>
      <c r="G423" s="60"/>
      <c r="H423" s="60"/>
      <c r="I423" s="60"/>
      <c r="J423" s="60"/>
      <c r="K423" s="60"/>
      <c r="L423" s="61">
        <v>33.5</v>
      </c>
      <c r="M423" s="63"/>
      <c r="N423" s="61">
        <v>139.4</v>
      </c>
      <c r="O423" s="64"/>
      <c r="P423" s="64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59">
        <f t="shared" si="30"/>
        <v>46023</v>
      </c>
      <c r="AD423" s="57"/>
      <c r="AE423" s="60"/>
      <c r="AF423" s="59">
        <v>46027</v>
      </c>
      <c r="AG423" s="60"/>
      <c r="AH423" s="57"/>
      <c r="AI423" s="34"/>
      <c r="AJ423" s="34"/>
    </row>
    <row r="424" spans="1:36" s="2" customFormat="1" ht="16.5" x14ac:dyDescent="0.3">
      <c r="A424" s="27">
        <v>46013</v>
      </c>
      <c r="B424" s="27">
        <v>46009</v>
      </c>
      <c r="C424" s="21" t="s">
        <v>49</v>
      </c>
      <c r="D424" s="57" t="s">
        <v>769</v>
      </c>
      <c r="E424" s="70" t="s">
        <v>950</v>
      </c>
      <c r="F424" s="89"/>
      <c r="G424" s="60"/>
      <c r="H424" s="60"/>
      <c r="I424" s="60"/>
      <c r="J424" s="60"/>
      <c r="K424" s="60"/>
      <c r="L424" s="61">
        <v>13.4</v>
      </c>
      <c r="M424" s="63"/>
      <c r="N424" s="61">
        <v>22.8</v>
      </c>
      <c r="O424" s="64"/>
      <c r="P424" s="64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59">
        <f t="shared" si="30"/>
        <v>46023</v>
      </c>
      <c r="AD424" s="57"/>
      <c r="AE424" s="60"/>
      <c r="AF424" s="59">
        <v>46027</v>
      </c>
      <c r="AG424" s="60"/>
      <c r="AH424" s="57"/>
      <c r="AI424" s="34"/>
      <c r="AJ424" s="34"/>
    </row>
    <row r="425" spans="1:36" s="2" customFormat="1" ht="16.5" x14ac:dyDescent="0.3">
      <c r="A425" s="27">
        <v>46013</v>
      </c>
      <c r="B425" s="27">
        <v>46009</v>
      </c>
      <c r="C425" s="21" t="s">
        <v>49</v>
      </c>
      <c r="D425" s="57" t="s">
        <v>770</v>
      </c>
      <c r="E425" s="70" t="s">
        <v>951</v>
      </c>
      <c r="F425" s="89"/>
      <c r="G425" s="60"/>
      <c r="H425" s="60"/>
      <c r="I425" s="60"/>
      <c r="J425" s="60"/>
      <c r="K425" s="60"/>
      <c r="L425" s="61">
        <v>11.7</v>
      </c>
      <c r="M425" s="63"/>
      <c r="N425" s="61">
        <v>13.7</v>
      </c>
      <c r="O425" s="64"/>
      <c r="P425" s="64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59">
        <f t="shared" si="30"/>
        <v>46023</v>
      </c>
      <c r="AD425" s="57"/>
      <c r="AE425" s="60"/>
      <c r="AF425" s="59">
        <v>46027</v>
      </c>
      <c r="AG425" s="60"/>
      <c r="AH425" s="57"/>
      <c r="AI425" s="34"/>
      <c r="AJ425" s="34"/>
    </row>
    <row r="426" spans="1:36" s="2" customFormat="1" ht="16.5" x14ac:dyDescent="0.3">
      <c r="A426" s="27">
        <v>46013</v>
      </c>
      <c r="B426" s="27">
        <v>46009</v>
      </c>
      <c r="C426" s="21" t="s">
        <v>49</v>
      </c>
      <c r="D426" s="57" t="s">
        <v>771</v>
      </c>
      <c r="E426" s="70" t="s">
        <v>952</v>
      </c>
      <c r="F426" s="89"/>
      <c r="G426" s="60"/>
      <c r="H426" s="60"/>
      <c r="I426" s="60"/>
      <c r="J426" s="60"/>
      <c r="K426" s="60"/>
      <c r="L426" s="61">
        <v>12.9</v>
      </c>
      <c r="M426" s="63"/>
      <c r="N426" s="61">
        <v>13.6</v>
      </c>
      <c r="O426" s="64"/>
      <c r="P426" s="64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59">
        <f t="shared" si="30"/>
        <v>46023</v>
      </c>
      <c r="AD426" s="57"/>
      <c r="AE426" s="60"/>
      <c r="AF426" s="59">
        <v>46027</v>
      </c>
      <c r="AG426" s="60"/>
      <c r="AH426" s="57"/>
      <c r="AI426" s="34"/>
      <c r="AJ426" s="34"/>
    </row>
    <row r="427" spans="1:36" s="2" customFormat="1" ht="16.5" x14ac:dyDescent="0.3">
      <c r="A427" s="27">
        <v>46013</v>
      </c>
      <c r="B427" s="27">
        <v>46009</v>
      </c>
      <c r="C427" s="21" t="s">
        <v>49</v>
      </c>
      <c r="D427" s="57" t="s">
        <v>772</v>
      </c>
      <c r="E427" s="70" t="s">
        <v>953</v>
      </c>
      <c r="F427" s="89"/>
      <c r="G427" s="60"/>
      <c r="H427" s="60"/>
      <c r="I427" s="60"/>
      <c r="J427" s="60"/>
      <c r="K427" s="60"/>
      <c r="L427" s="61">
        <v>14.7</v>
      </c>
      <c r="M427" s="63"/>
      <c r="N427" s="61">
        <v>11.2</v>
      </c>
      <c r="O427" s="64"/>
      <c r="P427" s="64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59">
        <f t="shared" si="30"/>
        <v>46023</v>
      </c>
      <c r="AD427" s="57"/>
      <c r="AE427" s="60"/>
      <c r="AF427" s="59">
        <v>46027</v>
      </c>
      <c r="AG427" s="60"/>
      <c r="AH427" s="57"/>
      <c r="AI427" s="34"/>
      <c r="AJ427" s="34"/>
    </row>
    <row r="428" spans="1:36" s="2" customFormat="1" ht="16.5" x14ac:dyDescent="0.3">
      <c r="A428" s="27">
        <v>46013</v>
      </c>
      <c r="B428" s="27">
        <v>46009</v>
      </c>
      <c r="C428" s="21" t="s">
        <v>49</v>
      </c>
      <c r="D428" s="57" t="s">
        <v>773</v>
      </c>
      <c r="E428" s="70" t="s">
        <v>954</v>
      </c>
      <c r="F428" s="89"/>
      <c r="G428" s="60"/>
      <c r="H428" s="60"/>
      <c r="I428" s="60"/>
      <c r="J428" s="60"/>
      <c r="K428" s="60"/>
      <c r="L428" s="61">
        <v>31.9</v>
      </c>
      <c r="M428" s="63"/>
      <c r="N428" s="61">
        <v>16</v>
      </c>
      <c r="O428" s="64"/>
      <c r="P428" s="64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59">
        <f t="shared" si="30"/>
        <v>46023</v>
      </c>
      <c r="AD428" s="57"/>
      <c r="AE428" s="60"/>
      <c r="AF428" s="59">
        <v>46027</v>
      </c>
      <c r="AG428" s="60"/>
      <c r="AH428" s="57"/>
      <c r="AI428" s="34"/>
      <c r="AJ428" s="34"/>
    </row>
    <row r="429" spans="1:36" s="2" customFormat="1" ht="16.5" x14ac:dyDescent="0.3">
      <c r="A429" s="27">
        <v>46013</v>
      </c>
      <c r="B429" s="27">
        <v>46009</v>
      </c>
      <c r="C429" s="21" t="s">
        <v>49</v>
      </c>
      <c r="D429" s="57" t="s">
        <v>774</v>
      </c>
      <c r="E429" s="70" t="s">
        <v>955</v>
      </c>
      <c r="F429" s="89"/>
      <c r="G429" s="60"/>
      <c r="H429" s="60"/>
      <c r="I429" s="60"/>
      <c r="J429" s="60"/>
      <c r="K429" s="60"/>
      <c r="L429" s="61">
        <v>6.8</v>
      </c>
      <c r="M429" s="63"/>
      <c r="N429" s="61">
        <v>10</v>
      </c>
      <c r="O429" s="64"/>
      <c r="P429" s="64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59">
        <f t="shared" si="30"/>
        <v>46023</v>
      </c>
      <c r="AD429" s="57"/>
      <c r="AE429" s="60"/>
      <c r="AF429" s="59">
        <v>46028</v>
      </c>
      <c r="AG429" s="60"/>
      <c r="AH429" s="57"/>
      <c r="AI429" s="34"/>
      <c r="AJ429" s="34"/>
    </row>
    <row r="430" spans="1:36" s="2" customFormat="1" ht="16.5" x14ac:dyDescent="0.3">
      <c r="A430" s="27">
        <v>46013</v>
      </c>
      <c r="B430" s="27">
        <v>46009</v>
      </c>
      <c r="C430" s="21" t="s">
        <v>49</v>
      </c>
      <c r="D430" s="57" t="s">
        <v>775</v>
      </c>
      <c r="E430" s="70" t="s">
        <v>956</v>
      </c>
      <c r="F430" s="89"/>
      <c r="G430" s="60"/>
      <c r="H430" s="60"/>
      <c r="I430" s="60"/>
      <c r="J430" s="60"/>
      <c r="K430" s="60"/>
      <c r="L430" s="61">
        <v>50.6</v>
      </c>
      <c r="M430" s="63"/>
      <c r="N430" s="61">
        <v>424.3</v>
      </c>
      <c r="O430" s="64"/>
      <c r="P430" s="64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59">
        <f t="shared" si="30"/>
        <v>46023</v>
      </c>
      <c r="AD430" s="57"/>
      <c r="AE430" s="60"/>
      <c r="AF430" s="59">
        <v>46028</v>
      </c>
      <c r="AG430" s="60"/>
      <c r="AH430" s="57"/>
      <c r="AI430" s="34"/>
      <c r="AJ430" s="34"/>
    </row>
    <row r="431" spans="1:36" s="2" customFormat="1" ht="16.5" x14ac:dyDescent="0.3">
      <c r="A431" s="27">
        <v>46013</v>
      </c>
      <c r="B431" s="27">
        <v>46009</v>
      </c>
      <c r="C431" s="21" t="s">
        <v>49</v>
      </c>
      <c r="D431" s="57" t="s">
        <v>776</v>
      </c>
      <c r="E431" s="70" t="s">
        <v>957</v>
      </c>
      <c r="F431" s="89"/>
      <c r="G431" s="60"/>
      <c r="H431" s="60"/>
      <c r="I431" s="60"/>
      <c r="J431" s="60"/>
      <c r="K431" s="60"/>
      <c r="L431" s="61">
        <v>15.8</v>
      </c>
      <c r="M431" s="63"/>
      <c r="N431" s="61">
        <v>64.8</v>
      </c>
      <c r="O431" s="64"/>
      <c r="P431" s="64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59">
        <f t="shared" si="30"/>
        <v>46023</v>
      </c>
      <c r="AD431" s="57"/>
      <c r="AE431" s="60"/>
      <c r="AF431" s="59">
        <v>46028</v>
      </c>
      <c r="AG431" s="60"/>
      <c r="AH431" s="57"/>
      <c r="AI431" s="34"/>
      <c r="AJ431" s="34"/>
    </row>
    <row r="432" spans="1:36" s="2" customFormat="1" ht="16.5" x14ac:dyDescent="0.3">
      <c r="A432" s="27">
        <v>46013</v>
      </c>
      <c r="B432" s="27">
        <v>46009</v>
      </c>
      <c r="C432" s="21" t="s">
        <v>49</v>
      </c>
      <c r="D432" s="57" t="s">
        <v>777</v>
      </c>
      <c r="E432" s="70" t="s">
        <v>958</v>
      </c>
      <c r="F432" s="89"/>
      <c r="G432" s="60"/>
      <c r="H432" s="60"/>
      <c r="I432" s="60"/>
      <c r="J432" s="60"/>
      <c r="K432" s="60"/>
      <c r="L432" s="61">
        <v>14.1</v>
      </c>
      <c r="M432" s="63"/>
      <c r="N432" s="61">
        <v>40.1</v>
      </c>
      <c r="O432" s="64"/>
      <c r="P432" s="64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59">
        <f t="shared" si="30"/>
        <v>46023</v>
      </c>
      <c r="AD432" s="57"/>
      <c r="AE432" s="60"/>
      <c r="AF432" s="59">
        <v>46028</v>
      </c>
      <c r="AG432" s="60"/>
      <c r="AH432" s="57"/>
      <c r="AI432" s="34"/>
      <c r="AJ432" s="34"/>
    </row>
    <row r="433" spans="1:36" s="2" customFormat="1" ht="16.5" x14ac:dyDescent="0.3">
      <c r="A433" s="27">
        <v>46013</v>
      </c>
      <c r="B433" s="27">
        <v>46009</v>
      </c>
      <c r="C433" s="21" t="s">
        <v>49</v>
      </c>
      <c r="D433" s="57" t="s">
        <v>778</v>
      </c>
      <c r="E433" s="70" t="s">
        <v>959</v>
      </c>
      <c r="F433" s="89"/>
      <c r="G433" s="60"/>
      <c r="H433" s="60"/>
      <c r="I433" s="60"/>
      <c r="J433" s="60"/>
      <c r="K433" s="60"/>
      <c r="L433" s="61">
        <v>13.8</v>
      </c>
      <c r="M433" s="63"/>
      <c r="N433" s="61">
        <v>14.5</v>
      </c>
      <c r="O433" s="64"/>
      <c r="P433" s="64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59">
        <f t="shared" si="30"/>
        <v>46023</v>
      </c>
      <c r="AD433" s="57"/>
      <c r="AE433" s="60"/>
      <c r="AF433" s="59">
        <v>46028</v>
      </c>
      <c r="AG433" s="60"/>
      <c r="AH433" s="57"/>
      <c r="AI433" s="34"/>
      <c r="AJ433" s="34"/>
    </row>
    <row r="434" spans="1:36" s="2" customFormat="1" ht="16.5" x14ac:dyDescent="0.3">
      <c r="A434" s="27">
        <v>46013</v>
      </c>
      <c r="B434" s="27">
        <v>46009</v>
      </c>
      <c r="C434" s="21" t="s">
        <v>49</v>
      </c>
      <c r="D434" s="57" t="s">
        <v>779</v>
      </c>
      <c r="E434" s="70" t="s">
        <v>960</v>
      </c>
      <c r="F434" s="89"/>
      <c r="G434" s="60"/>
      <c r="H434" s="60"/>
      <c r="I434" s="60"/>
      <c r="J434" s="60"/>
      <c r="K434" s="60"/>
      <c r="L434" s="61">
        <v>22.1</v>
      </c>
      <c r="M434" s="63"/>
      <c r="N434" s="61">
        <v>65.3</v>
      </c>
      <c r="O434" s="64"/>
      <c r="P434" s="64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59">
        <f t="shared" si="30"/>
        <v>46023</v>
      </c>
      <c r="AD434" s="57"/>
      <c r="AE434" s="60"/>
      <c r="AF434" s="59">
        <v>46028</v>
      </c>
      <c r="AG434" s="60"/>
      <c r="AH434" s="57"/>
      <c r="AI434" s="34"/>
      <c r="AJ434" s="34"/>
    </row>
    <row r="435" spans="1:36" s="2" customFormat="1" ht="16.5" x14ac:dyDescent="0.3">
      <c r="A435" s="27">
        <v>46013</v>
      </c>
      <c r="B435" s="27">
        <v>46009</v>
      </c>
      <c r="C435" s="21" t="s">
        <v>49</v>
      </c>
      <c r="D435" s="57" t="s">
        <v>780</v>
      </c>
      <c r="E435" s="70" t="s">
        <v>961</v>
      </c>
      <c r="F435" s="89"/>
      <c r="G435" s="60"/>
      <c r="H435" s="60"/>
      <c r="I435" s="60"/>
      <c r="J435" s="60"/>
      <c r="K435" s="60"/>
      <c r="L435" s="61">
        <v>16.5</v>
      </c>
      <c r="M435" s="63"/>
      <c r="N435" s="61">
        <v>18.7</v>
      </c>
      <c r="O435" s="64"/>
      <c r="P435" s="64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59">
        <f t="shared" si="30"/>
        <v>46023</v>
      </c>
      <c r="AD435" s="57"/>
      <c r="AE435" s="60"/>
      <c r="AF435" s="59">
        <v>46028</v>
      </c>
      <c r="AG435" s="60"/>
      <c r="AH435" s="57"/>
      <c r="AI435" s="34"/>
      <c r="AJ435" s="34"/>
    </row>
    <row r="436" spans="1:36" s="2" customFormat="1" ht="16.5" x14ac:dyDescent="0.3">
      <c r="A436" s="27">
        <v>46013</v>
      </c>
      <c r="B436" s="27">
        <v>46009</v>
      </c>
      <c r="C436" s="21" t="s">
        <v>49</v>
      </c>
      <c r="D436" s="57" t="s">
        <v>963</v>
      </c>
      <c r="E436" s="70" t="s">
        <v>964</v>
      </c>
      <c r="F436" s="89"/>
      <c r="G436" s="60"/>
      <c r="H436" s="60"/>
      <c r="I436" s="60"/>
      <c r="J436" s="60"/>
      <c r="K436" s="60"/>
      <c r="L436" s="61">
        <v>16</v>
      </c>
      <c r="M436" s="63"/>
      <c r="N436" s="61">
        <v>17.600000000000001</v>
      </c>
      <c r="O436" s="64"/>
      <c r="P436" s="64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59">
        <f t="shared" ref="AC436" si="34">B436+14</f>
        <v>46023</v>
      </c>
      <c r="AD436" s="57"/>
      <c r="AE436" s="60"/>
      <c r="AF436" s="59">
        <v>46028</v>
      </c>
      <c r="AG436" s="60"/>
      <c r="AH436" s="57"/>
      <c r="AI436" s="34"/>
      <c r="AJ436" s="34"/>
    </row>
    <row r="437" spans="1:36" s="2" customFormat="1" ht="16.5" x14ac:dyDescent="0.3">
      <c r="A437" s="27">
        <v>46013</v>
      </c>
      <c r="B437" s="27">
        <v>46009</v>
      </c>
      <c r="C437" s="21" t="s">
        <v>49</v>
      </c>
      <c r="D437" s="57" t="s">
        <v>781</v>
      </c>
      <c r="E437" s="70" t="s">
        <v>962</v>
      </c>
      <c r="F437" s="89"/>
      <c r="G437" s="60"/>
      <c r="H437" s="60"/>
      <c r="I437" s="60"/>
      <c r="J437" s="60"/>
      <c r="K437" s="60"/>
      <c r="L437" s="61">
        <v>19.8</v>
      </c>
      <c r="M437" s="63"/>
      <c r="N437" s="61">
        <v>14.6</v>
      </c>
      <c r="O437" s="64"/>
      <c r="P437" s="64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59">
        <f t="shared" si="30"/>
        <v>46023</v>
      </c>
      <c r="AD437" s="57"/>
      <c r="AE437" s="60"/>
      <c r="AF437" s="59">
        <v>46028</v>
      </c>
      <c r="AG437" s="60"/>
      <c r="AH437" s="57"/>
      <c r="AI437" s="34"/>
      <c r="AJ437" s="34"/>
    </row>
    <row r="438" spans="1:36" s="2" customFormat="1" ht="16.5" x14ac:dyDescent="0.3">
      <c r="A438" s="27">
        <v>46013</v>
      </c>
      <c r="B438" s="27">
        <v>46009</v>
      </c>
      <c r="C438" s="21" t="s">
        <v>49</v>
      </c>
      <c r="D438" s="57" t="s">
        <v>782</v>
      </c>
      <c r="E438" s="70" t="s">
        <v>965</v>
      </c>
      <c r="F438" s="89"/>
      <c r="G438" s="60"/>
      <c r="H438" s="60"/>
      <c r="I438" s="60"/>
      <c r="J438" s="60"/>
      <c r="K438" s="60"/>
      <c r="L438" s="61">
        <v>19.399999999999999</v>
      </c>
      <c r="M438" s="63"/>
      <c r="N438" s="61">
        <v>31.5</v>
      </c>
      <c r="O438" s="64"/>
      <c r="P438" s="64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59">
        <f t="shared" si="30"/>
        <v>46023</v>
      </c>
      <c r="AD438" s="57"/>
      <c r="AE438" s="60"/>
      <c r="AF438" s="59">
        <v>46028</v>
      </c>
      <c r="AG438" s="60"/>
      <c r="AH438" s="57"/>
      <c r="AI438" s="34"/>
      <c r="AJ438" s="34"/>
    </row>
    <row r="439" spans="1:36" s="2" customFormat="1" ht="16.5" x14ac:dyDescent="0.3">
      <c r="A439" s="27">
        <v>46013</v>
      </c>
      <c r="B439" s="27">
        <v>46009</v>
      </c>
      <c r="C439" s="21" t="s">
        <v>49</v>
      </c>
      <c r="D439" s="57" t="s">
        <v>783</v>
      </c>
      <c r="E439" s="70" t="s">
        <v>966</v>
      </c>
      <c r="F439" s="89"/>
      <c r="G439" s="60"/>
      <c r="H439" s="60"/>
      <c r="I439" s="60"/>
      <c r="J439" s="60"/>
      <c r="K439" s="60"/>
      <c r="L439" s="61">
        <v>16.3</v>
      </c>
      <c r="M439" s="63"/>
      <c r="N439" s="61">
        <v>14.3</v>
      </c>
      <c r="O439" s="64"/>
      <c r="P439" s="64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59">
        <f t="shared" ref="AC439:AC488" si="35">B439+14</f>
        <v>46023</v>
      </c>
      <c r="AD439" s="57"/>
      <c r="AE439" s="60"/>
      <c r="AF439" s="59">
        <v>46028</v>
      </c>
      <c r="AG439" s="60"/>
      <c r="AH439" s="57"/>
      <c r="AI439" s="34"/>
      <c r="AJ439" s="34"/>
    </row>
    <row r="440" spans="1:36" s="2" customFormat="1" ht="16.5" x14ac:dyDescent="0.3">
      <c r="A440" s="27">
        <v>46013</v>
      </c>
      <c r="B440" s="27">
        <v>46009</v>
      </c>
      <c r="C440" s="21" t="s">
        <v>49</v>
      </c>
      <c r="D440" s="57" t="s">
        <v>784</v>
      </c>
      <c r="E440" s="70" t="s">
        <v>967</v>
      </c>
      <c r="F440" s="89"/>
      <c r="G440" s="60"/>
      <c r="H440" s="60"/>
      <c r="I440" s="60"/>
      <c r="J440" s="60"/>
      <c r="K440" s="60"/>
      <c r="L440" s="61">
        <v>14.9</v>
      </c>
      <c r="M440" s="63"/>
      <c r="N440" s="61">
        <v>11.4</v>
      </c>
      <c r="O440" s="64"/>
      <c r="P440" s="64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59">
        <f t="shared" si="35"/>
        <v>46023</v>
      </c>
      <c r="AD440" s="57"/>
      <c r="AE440" s="60"/>
      <c r="AF440" s="59">
        <v>46028</v>
      </c>
      <c r="AG440" s="60"/>
      <c r="AH440" s="57"/>
      <c r="AI440" s="34"/>
      <c r="AJ440" s="34"/>
    </row>
    <row r="441" spans="1:36" s="2" customFormat="1" ht="16.5" x14ac:dyDescent="0.3">
      <c r="A441" s="27">
        <v>46013</v>
      </c>
      <c r="B441" s="27">
        <v>46009</v>
      </c>
      <c r="C441" s="21" t="s">
        <v>49</v>
      </c>
      <c r="D441" s="57" t="s">
        <v>785</v>
      </c>
      <c r="E441" s="70" t="s">
        <v>968</v>
      </c>
      <c r="F441" s="89"/>
      <c r="G441" s="60"/>
      <c r="H441" s="60"/>
      <c r="I441" s="60"/>
      <c r="J441" s="60"/>
      <c r="K441" s="60"/>
      <c r="L441" s="61">
        <v>14.4</v>
      </c>
      <c r="M441" s="63"/>
      <c r="N441" s="61">
        <v>13.6</v>
      </c>
      <c r="O441" s="64"/>
      <c r="P441" s="64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59">
        <f t="shared" si="35"/>
        <v>46023</v>
      </c>
      <c r="AD441" s="57"/>
      <c r="AE441" s="60"/>
      <c r="AF441" s="59">
        <v>46028</v>
      </c>
      <c r="AG441" s="60"/>
      <c r="AH441" s="57"/>
      <c r="AI441" s="34"/>
      <c r="AJ441" s="34"/>
    </row>
    <row r="442" spans="1:36" s="2" customFormat="1" ht="16.5" x14ac:dyDescent="0.3">
      <c r="A442" s="27">
        <v>46013</v>
      </c>
      <c r="B442" s="27">
        <v>46009</v>
      </c>
      <c r="C442" s="21" t="s">
        <v>49</v>
      </c>
      <c r="D442" s="57" t="s">
        <v>786</v>
      </c>
      <c r="E442" s="70" t="s">
        <v>969</v>
      </c>
      <c r="F442" s="89"/>
      <c r="G442" s="60"/>
      <c r="H442" s="60"/>
      <c r="I442" s="60"/>
      <c r="J442" s="60"/>
      <c r="K442" s="60"/>
      <c r="L442" s="61">
        <v>12.2</v>
      </c>
      <c r="M442" s="63"/>
      <c r="N442" s="61">
        <v>11.9</v>
      </c>
      <c r="O442" s="64"/>
      <c r="P442" s="64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59">
        <f t="shared" si="35"/>
        <v>46023</v>
      </c>
      <c r="AD442" s="57"/>
      <c r="AE442" s="60"/>
      <c r="AF442" s="59">
        <v>46028</v>
      </c>
      <c r="AG442" s="60"/>
      <c r="AH442" s="57"/>
      <c r="AI442" s="34"/>
      <c r="AJ442" s="34"/>
    </row>
    <row r="443" spans="1:36" s="2" customFormat="1" ht="16.5" x14ac:dyDescent="0.3">
      <c r="A443" s="27">
        <v>46013</v>
      </c>
      <c r="B443" s="27">
        <v>46009</v>
      </c>
      <c r="C443" s="21" t="s">
        <v>49</v>
      </c>
      <c r="D443" s="57" t="s">
        <v>787</v>
      </c>
      <c r="E443" s="70" t="s">
        <v>970</v>
      </c>
      <c r="F443" s="89"/>
      <c r="G443" s="60"/>
      <c r="H443" s="60"/>
      <c r="I443" s="60"/>
      <c r="J443" s="60"/>
      <c r="K443" s="60"/>
      <c r="L443" s="61">
        <v>15.1</v>
      </c>
      <c r="M443" s="63"/>
      <c r="N443" s="61">
        <v>11.1</v>
      </c>
      <c r="O443" s="64"/>
      <c r="P443" s="64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59">
        <f t="shared" si="35"/>
        <v>46023</v>
      </c>
      <c r="AD443" s="57"/>
      <c r="AE443" s="60"/>
      <c r="AF443" s="59">
        <v>46028</v>
      </c>
      <c r="AG443" s="60"/>
      <c r="AH443" s="57"/>
      <c r="AI443" s="34"/>
      <c r="AJ443" s="34"/>
    </row>
    <row r="444" spans="1:36" s="2" customFormat="1" ht="16.5" x14ac:dyDescent="0.3">
      <c r="A444" s="27">
        <v>46013</v>
      </c>
      <c r="B444" s="27">
        <v>46009</v>
      </c>
      <c r="C444" s="21" t="s">
        <v>49</v>
      </c>
      <c r="D444" s="57" t="s">
        <v>788</v>
      </c>
      <c r="E444" s="70" t="s">
        <v>971</v>
      </c>
      <c r="F444" s="89"/>
      <c r="G444" s="60"/>
      <c r="H444" s="60"/>
      <c r="I444" s="60"/>
      <c r="J444" s="60"/>
      <c r="K444" s="60"/>
      <c r="L444" s="61">
        <v>9.4</v>
      </c>
      <c r="M444" s="63"/>
      <c r="N444" s="61">
        <v>12.6</v>
      </c>
      <c r="O444" s="64"/>
      <c r="P444" s="64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59">
        <f t="shared" si="35"/>
        <v>46023</v>
      </c>
      <c r="AD444" s="57"/>
      <c r="AE444" s="60"/>
      <c r="AF444" s="59">
        <v>46028</v>
      </c>
      <c r="AG444" s="60"/>
      <c r="AH444" s="57"/>
      <c r="AI444" s="34"/>
      <c r="AJ444" s="34"/>
    </row>
    <row r="445" spans="1:36" s="2" customFormat="1" ht="16.5" x14ac:dyDescent="0.3">
      <c r="A445" s="27">
        <v>46013</v>
      </c>
      <c r="B445" s="27">
        <v>46009</v>
      </c>
      <c r="C445" s="21" t="s">
        <v>49</v>
      </c>
      <c r="D445" s="57" t="s">
        <v>789</v>
      </c>
      <c r="E445" s="70" t="s">
        <v>972</v>
      </c>
      <c r="F445" s="89"/>
      <c r="G445" s="60"/>
      <c r="H445" s="60"/>
      <c r="I445" s="60"/>
      <c r="J445" s="60"/>
      <c r="K445" s="60"/>
      <c r="L445" s="61">
        <v>3.9</v>
      </c>
      <c r="M445" s="63"/>
      <c r="N445" s="61">
        <v>9.5</v>
      </c>
      <c r="O445" s="64"/>
      <c r="P445" s="64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59">
        <f t="shared" si="35"/>
        <v>46023</v>
      </c>
      <c r="AD445" s="57"/>
      <c r="AE445" s="60"/>
      <c r="AF445" s="59">
        <v>46028</v>
      </c>
      <c r="AG445" s="60"/>
      <c r="AH445" s="57"/>
      <c r="AI445" s="34"/>
      <c r="AJ445" s="34"/>
    </row>
    <row r="446" spans="1:36" s="2" customFormat="1" ht="16.5" x14ac:dyDescent="0.3">
      <c r="A446" s="27">
        <v>46013</v>
      </c>
      <c r="B446" s="27">
        <v>46009</v>
      </c>
      <c r="C446" s="21" t="s">
        <v>49</v>
      </c>
      <c r="D446" s="57" t="s">
        <v>790</v>
      </c>
      <c r="E446" s="70" t="s">
        <v>973</v>
      </c>
      <c r="F446" s="89"/>
      <c r="G446" s="60"/>
      <c r="H446" s="60"/>
      <c r="I446" s="60"/>
      <c r="J446" s="60"/>
      <c r="K446" s="60"/>
      <c r="L446" s="61">
        <v>76</v>
      </c>
      <c r="M446" s="63"/>
      <c r="N446" s="61">
        <v>624.79999999999995</v>
      </c>
      <c r="O446" s="64"/>
      <c r="P446" s="64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59">
        <f t="shared" si="35"/>
        <v>46023</v>
      </c>
      <c r="AD446" s="57"/>
      <c r="AE446" s="60"/>
      <c r="AF446" s="59">
        <v>46028</v>
      </c>
      <c r="AG446" s="60"/>
      <c r="AH446" s="57"/>
      <c r="AI446" s="34"/>
      <c r="AJ446" s="34"/>
    </row>
    <row r="447" spans="1:36" s="2" customFormat="1" ht="16.5" x14ac:dyDescent="0.3">
      <c r="A447" s="27">
        <v>46013</v>
      </c>
      <c r="B447" s="27">
        <v>46009</v>
      </c>
      <c r="C447" s="21" t="s">
        <v>49</v>
      </c>
      <c r="D447" s="57" t="s">
        <v>791</v>
      </c>
      <c r="E447" s="70" t="s">
        <v>974</v>
      </c>
      <c r="F447" s="89"/>
      <c r="G447" s="60"/>
      <c r="H447" s="60"/>
      <c r="I447" s="60"/>
      <c r="J447" s="60"/>
      <c r="K447" s="60"/>
      <c r="L447" s="61">
        <v>23.3</v>
      </c>
      <c r="M447" s="63"/>
      <c r="N447" s="61">
        <v>73.400000000000006</v>
      </c>
      <c r="O447" s="64"/>
      <c r="P447" s="64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59">
        <f t="shared" si="35"/>
        <v>46023</v>
      </c>
      <c r="AD447" s="57"/>
      <c r="AE447" s="60"/>
      <c r="AF447" s="59">
        <v>46028</v>
      </c>
      <c r="AG447" s="60"/>
      <c r="AH447" s="57"/>
      <c r="AI447" s="34"/>
      <c r="AJ447" s="34"/>
    </row>
    <row r="448" spans="1:36" s="2" customFormat="1" ht="16.5" x14ac:dyDescent="0.3">
      <c r="A448" s="27">
        <v>46013</v>
      </c>
      <c r="B448" s="27">
        <v>46009</v>
      </c>
      <c r="C448" s="21" t="s">
        <v>49</v>
      </c>
      <c r="D448" s="57" t="s">
        <v>792</v>
      </c>
      <c r="E448" s="70" t="s">
        <v>975</v>
      </c>
      <c r="F448" s="89"/>
      <c r="G448" s="60"/>
      <c r="H448" s="60"/>
      <c r="I448" s="60"/>
      <c r="J448" s="60"/>
      <c r="K448" s="60"/>
      <c r="L448" s="61">
        <v>18.399999999999999</v>
      </c>
      <c r="M448" s="63"/>
      <c r="N448" s="61">
        <v>21</v>
      </c>
      <c r="O448" s="64"/>
      <c r="P448" s="64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59">
        <f t="shared" si="35"/>
        <v>46023</v>
      </c>
      <c r="AD448" s="57"/>
      <c r="AE448" s="60"/>
      <c r="AF448" s="59">
        <v>46028</v>
      </c>
      <c r="AG448" s="60"/>
      <c r="AH448" s="57"/>
      <c r="AI448" s="34"/>
      <c r="AJ448" s="34"/>
    </row>
    <row r="449" spans="1:37" s="2" customFormat="1" ht="16.5" x14ac:dyDescent="0.3">
      <c r="A449" s="27">
        <v>46013</v>
      </c>
      <c r="B449" s="27">
        <v>46009</v>
      </c>
      <c r="C449" s="21" t="s">
        <v>49</v>
      </c>
      <c r="D449" s="57" t="s">
        <v>793</v>
      </c>
      <c r="E449" s="70" t="s">
        <v>976</v>
      </c>
      <c r="F449" s="89"/>
      <c r="G449" s="60"/>
      <c r="H449" s="60"/>
      <c r="I449" s="60"/>
      <c r="J449" s="60"/>
      <c r="K449" s="60"/>
      <c r="L449" s="61">
        <v>17.5</v>
      </c>
      <c r="M449" s="63"/>
      <c r="N449" s="61">
        <v>16.2</v>
      </c>
      <c r="O449" s="64"/>
      <c r="P449" s="64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59">
        <f t="shared" si="35"/>
        <v>46023</v>
      </c>
      <c r="AD449" s="57"/>
      <c r="AE449" s="60"/>
      <c r="AF449" s="59">
        <v>46028</v>
      </c>
      <c r="AG449" s="60"/>
      <c r="AH449" s="57"/>
      <c r="AI449" s="34"/>
      <c r="AJ449" s="34"/>
    </row>
    <row r="450" spans="1:37" s="2" customFormat="1" ht="16.5" x14ac:dyDescent="0.3">
      <c r="A450" s="27">
        <v>46013</v>
      </c>
      <c r="B450" s="27">
        <v>46009</v>
      </c>
      <c r="C450" s="21" t="s">
        <v>49</v>
      </c>
      <c r="D450" s="83" t="s">
        <v>1175</v>
      </c>
      <c r="E450" s="85" t="s">
        <v>1248</v>
      </c>
      <c r="F450" s="89"/>
      <c r="G450" s="60"/>
      <c r="H450" s="60"/>
      <c r="I450" s="60"/>
      <c r="J450" s="60"/>
      <c r="K450" s="60"/>
      <c r="L450" s="61">
        <v>26.2</v>
      </c>
      <c r="M450" s="63"/>
      <c r="N450" s="61">
        <v>208.4</v>
      </c>
      <c r="O450" s="64"/>
      <c r="P450" s="64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59">
        <f t="shared" si="35"/>
        <v>46023</v>
      </c>
      <c r="AD450" s="57"/>
      <c r="AE450" s="60"/>
      <c r="AF450" s="59">
        <v>46028</v>
      </c>
      <c r="AG450" s="60"/>
      <c r="AH450" s="83" t="s">
        <v>1083</v>
      </c>
      <c r="AI450" s="34"/>
      <c r="AJ450" s="34"/>
      <c r="AK450" s="102" t="s">
        <v>1249</v>
      </c>
    </row>
    <row r="451" spans="1:37" s="2" customFormat="1" ht="16.5" x14ac:dyDescent="0.3">
      <c r="A451" s="27">
        <v>46013</v>
      </c>
      <c r="B451" s="27">
        <v>46009</v>
      </c>
      <c r="C451" s="21" t="s">
        <v>49</v>
      </c>
      <c r="D451" s="57" t="s">
        <v>794</v>
      </c>
      <c r="E451" s="70" t="s">
        <v>977</v>
      </c>
      <c r="F451" s="89"/>
      <c r="G451" s="60"/>
      <c r="H451" s="60"/>
      <c r="I451" s="60"/>
      <c r="J451" s="60"/>
      <c r="K451" s="60"/>
      <c r="L451" s="61">
        <v>15.7</v>
      </c>
      <c r="M451" s="63"/>
      <c r="N451" s="61">
        <v>19.600000000000001</v>
      </c>
      <c r="O451" s="64"/>
      <c r="P451" s="64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59">
        <f t="shared" si="35"/>
        <v>46023</v>
      </c>
      <c r="AD451" s="57"/>
      <c r="AE451" s="60"/>
      <c r="AF451" s="59">
        <v>46028</v>
      </c>
      <c r="AG451" s="60"/>
      <c r="AH451" s="57"/>
      <c r="AI451" s="34"/>
      <c r="AJ451" s="34"/>
    </row>
    <row r="452" spans="1:37" s="2" customFormat="1" ht="16.5" x14ac:dyDescent="0.3">
      <c r="A452" s="27">
        <v>46013</v>
      </c>
      <c r="B452" s="27">
        <v>46009</v>
      </c>
      <c r="C452" s="21" t="s">
        <v>49</v>
      </c>
      <c r="D452" s="57" t="s">
        <v>795</v>
      </c>
      <c r="E452" s="70" t="s">
        <v>978</v>
      </c>
      <c r="F452" s="89"/>
      <c r="G452" s="60"/>
      <c r="H452" s="60"/>
      <c r="I452" s="60"/>
      <c r="J452" s="60"/>
      <c r="K452" s="60"/>
      <c r="L452" s="61">
        <v>8.9</v>
      </c>
      <c r="M452" s="63"/>
      <c r="N452" s="61">
        <v>18.399999999999999</v>
      </c>
      <c r="O452" s="64"/>
      <c r="P452" s="64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59">
        <f t="shared" si="35"/>
        <v>46023</v>
      </c>
      <c r="AD452" s="57"/>
      <c r="AE452" s="60"/>
      <c r="AF452" s="59">
        <v>46028</v>
      </c>
      <c r="AG452" s="60"/>
      <c r="AH452" s="57"/>
      <c r="AI452" s="34"/>
      <c r="AJ452" s="34"/>
    </row>
    <row r="453" spans="1:37" s="2" customFormat="1" ht="16.5" x14ac:dyDescent="0.3">
      <c r="A453" s="27">
        <v>46013</v>
      </c>
      <c r="B453" s="27">
        <v>46009</v>
      </c>
      <c r="C453" s="21" t="s">
        <v>49</v>
      </c>
      <c r="D453" s="57" t="s">
        <v>796</v>
      </c>
      <c r="E453" s="70" t="s">
        <v>979</v>
      </c>
      <c r="F453" s="89"/>
      <c r="G453" s="60"/>
      <c r="H453" s="60"/>
      <c r="I453" s="60"/>
      <c r="J453" s="60"/>
      <c r="K453" s="60"/>
      <c r="L453" s="61">
        <v>2.9</v>
      </c>
      <c r="M453" s="63"/>
      <c r="N453" s="61">
        <v>12.3</v>
      </c>
      <c r="O453" s="64"/>
      <c r="P453" s="64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59">
        <f t="shared" si="35"/>
        <v>46023</v>
      </c>
      <c r="AD453" s="57"/>
      <c r="AE453" s="60"/>
      <c r="AF453" s="59">
        <v>46028</v>
      </c>
      <c r="AG453" s="60"/>
      <c r="AH453" s="57"/>
      <c r="AI453" s="34"/>
      <c r="AJ453" s="34"/>
    </row>
    <row r="454" spans="1:37" s="2" customFormat="1" ht="16.5" x14ac:dyDescent="0.3">
      <c r="A454" s="27">
        <v>46013</v>
      </c>
      <c r="B454" s="27">
        <v>46009</v>
      </c>
      <c r="C454" s="21" t="s">
        <v>49</v>
      </c>
      <c r="D454" s="57" t="s">
        <v>797</v>
      </c>
      <c r="E454" s="70" t="s">
        <v>980</v>
      </c>
      <c r="F454" s="89"/>
      <c r="G454" s="60"/>
      <c r="H454" s="60"/>
      <c r="I454" s="60"/>
      <c r="J454" s="60"/>
      <c r="K454" s="60"/>
      <c r="L454" s="61">
        <v>275.89999999999998</v>
      </c>
      <c r="M454" s="63"/>
      <c r="N454" s="61">
        <v>1796.6</v>
      </c>
      <c r="O454" s="64"/>
      <c r="P454" s="64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59">
        <f t="shared" si="35"/>
        <v>46023</v>
      </c>
      <c r="AD454" s="57"/>
      <c r="AE454" s="60"/>
      <c r="AF454" s="59">
        <v>46028</v>
      </c>
      <c r="AG454" s="60"/>
      <c r="AH454" s="57"/>
      <c r="AI454" s="34"/>
      <c r="AJ454" s="34"/>
    </row>
    <row r="455" spans="1:37" s="2" customFormat="1" ht="16.5" x14ac:dyDescent="0.3">
      <c r="A455" s="27">
        <v>46013</v>
      </c>
      <c r="B455" s="27">
        <v>46009</v>
      </c>
      <c r="C455" s="21" t="s">
        <v>49</v>
      </c>
      <c r="D455" s="57" t="s">
        <v>798</v>
      </c>
      <c r="E455" s="70" t="s">
        <v>981</v>
      </c>
      <c r="F455" s="89"/>
      <c r="G455" s="60"/>
      <c r="H455" s="60"/>
      <c r="I455" s="60"/>
      <c r="J455" s="60"/>
      <c r="K455" s="60"/>
      <c r="L455" s="61">
        <v>29.4</v>
      </c>
      <c r="M455" s="63"/>
      <c r="N455" s="61">
        <v>115.5</v>
      </c>
      <c r="O455" s="64"/>
      <c r="P455" s="64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59">
        <f t="shared" si="35"/>
        <v>46023</v>
      </c>
      <c r="AD455" s="57"/>
      <c r="AE455" s="60"/>
      <c r="AF455" s="59">
        <v>46028</v>
      </c>
      <c r="AG455" s="60"/>
      <c r="AH455" s="57"/>
      <c r="AI455" s="34"/>
      <c r="AJ455" s="34"/>
    </row>
    <row r="456" spans="1:37" s="2" customFormat="1" ht="16.5" x14ac:dyDescent="0.3">
      <c r="A456" s="27">
        <v>46013</v>
      </c>
      <c r="B456" s="27">
        <v>46009</v>
      </c>
      <c r="C456" s="21" t="s">
        <v>49</v>
      </c>
      <c r="D456" s="57" t="s">
        <v>799</v>
      </c>
      <c r="E456" s="70" t="s">
        <v>982</v>
      </c>
      <c r="F456" s="89"/>
      <c r="G456" s="60"/>
      <c r="H456" s="60"/>
      <c r="I456" s="60"/>
      <c r="J456" s="60"/>
      <c r="K456" s="60"/>
      <c r="L456" s="61">
        <v>20.7</v>
      </c>
      <c r="M456" s="63"/>
      <c r="N456" s="61">
        <v>20</v>
      </c>
      <c r="O456" s="64"/>
      <c r="P456" s="64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59">
        <f t="shared" si="35"/>
        <v>46023</v>
      </c>
      <c r="AD456" s="57"/>
      <c r="AE456" s="60"/>
      <c r="AF456" s="59">
        <v>46028</v>
      </c>
      <c r="AG456" s="60"/>
      <c r="AH456" s="57"/>
      <c r="AI456" s="34"/>
      <c r="AJ456" s="34"/>
    </row>
    <row r="457" spans="1:37" s="2" customFormat="1" ht="16.5" x14ac:dyDescent="0.3">
      <c r="A457" s="27">
        <v>46013</v>
      </c>
      <c r="B457" s="27">
        <v>46009</v>
      </c>
      <c r="C457" s="21" t="s">
        <v>49</v>
      </c>
      <c r="D457" s="57" t="s">
        <v>988</v>
      </c>
      <c r="E457" s="70" t="s">
        <v>989</v>
      </c>
      <c r="F457" s="89"/>
      <c r="G457" s="60"/>
      <c r="H457" s="60"/>
      <c r="I457" s="60"/>
      <c r="J457" s="60"/>
      <c r="K457" s="60"/>
      <c r="L457" s="61">
        <v>19.7</v>
      </c>
      <c r="M457" s="63"/>
      <c r="N457" s="61">
        <v>18.399999999999999</v>
      </c>
      <c r="O457" s="64"/>
      <c r="P457" s="64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59">
        <f t="shared" ref="AC457" si="36">B457+14</f>
        <v>46023</v>
      </c>
      <c r="AD457" s="57"/>
      <c r="AE457" s="60"/>
      <c r="AF457" s="59">
        <v>46028</v>
      </c>
      <c r="AG457" s="60"/>
      <c r="AH457" s="57"/>
      <c r="AI457" s="34"/>
      <c r="AJ457" s="34"/>
    </row>
    <row r="458" spans="1:37" s="2" customFormat="1" ht="16.5" x14ac:dyDescent="0.3">
      <c r="A458" s="27">
        <v>46013</v>
      </c>
      <c r="B458" s="27">
        <v>46009</v>
      </c>
      <c r="C458" s="21" t="s">
        <v>49</v>
      </c>
      <c r="D458" s="57" t="s">
        <v>800</v>
      </c>
      <c r="E458" s="70" t="s">
        <v>983</v>
      </c>
      <c r="F458" s="89"/>
      <c r="G458" s="60"/>
      <c r="H458" s="60"/>
      <c r="I458" s="60"/>
      <c r="J458" s="60"/>
      <c r="K458" s="60"/>
      <c r="L458" s="61">
        <v>23.9</v>
      </c>
      <c r="M458" s="63"/>
      <c r="N458" s="61">
        <v>15.6</v>
      </c>
      <c r="O458" s="64"/>
      <c r="P458" s="64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59">
        <f t="shared" si="35"/>
        <v>46023</v>
      </c>
      <c r="AD458" s="57"/>
      <c r="AE458" s="60"/>
      <c r="AF458" s="59">
        <v>46028</v>
      </c>
      <c r="AG458" s="60"/>
      <c r="AH458" s="57"/>
      <c r="AI458" s="34"/>
      <c r="AJ458" s="34"/>
    </row>
    <row r="459" spans="1:37" s="2" customFormat="1" ht="16.5" x14ac:dyDescent="0.3">
      <c r="A459" s="27">
        <v>46013</v>
      </c>
      <c r="B459" s="27">
        <v>46009</v>
      </c>
      <c r="C459" s="21" t="s">
        <v>49</v>
      </c>
      <c r="D459" s="57" t="s">
        <v>801</v>
      </c>
      <c r="E459" s="70" t="s">
        <v>984</v>
      </c>
      <c r="F459" s="89"/>
      <c r="G459" s="60"/>
      <c r="H459" s="60"/>
      <c r="I459" s="60"/>
      <c r="J459" s="60"/>
      <c r="K459" s="60"/>
      <c r="L459" s="61">
        <v>21.2</v>
      </c>
      <c r="M459" s="63"/>
      <c r="N459" s="61">
        <v>37</v>
      </c>
      <c r="O459" s="64"/>
      <c r="P459" s="64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59">
        <f t="shared" si="35"/>
        <v>46023</v>
      </c>
      <c r="AD459" s="57"/>
      <c r="AE459" s="60"/>
      <c r="AF459" s="59">
        <v>46028</v>
      </c>
      <c r="AG459" s="60"/>
      <c r="AH459" s="57"/>
      <c r="AI459" s="34"/>
      <c r="AJ459" s="34"/>
    </row>
    <row r="460" spans="1:37" s="2" customFormat="1" ht="16.5" x14ac:dyDescent="0.3">
      <c r="A460" s="27">
        <v>46013</v>
      </c>
      <c r="B460" s="27">
        <v>46009</v>
      </c>
      <c r="C460" s="21" t="s">
        <v>49</v>
      </c>
      <c r="D460" s="57" t="s">
        <v>802</v>
      </c>
      <c r="E460" s="70" t="s">
        <v>985</v>
      </c>
      <c r="F460" s="89"/>
      <c r="G460" s="60"/>
      <c r="H460" s="60"/>
      <c r="I460" s="60"/>
      <c r="J460" s="60"/>
      <c r="K460" s="60"/>
      <c r="L460" s="61">
        <v>19</v>
      </c>
      <c r="M460" s="63"/>
      <c r="N460" s="61">
        <v>15.3</v>
      </c>
      <c r="O460" s="64"/>
      <c r="P460" s="64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59">
        <f t="shared" si="35"/>
        <v>46023</v>
      </c>
      <c r="AD460" s="57"/>
      <c r="AE460" s="60"/>
      <c r="AF460" s="59">
        <v>46028</v>
      </c>
      <c r="AG460" s="60"/>
      <c r="AH460" s="57"/>
      <c r="AI460" s="34"/>
      <c r="AJ460" s="34"/>
    </row>
    <row r="461" spans="1:37" s="2" customFormat="1" ht="16.5" x14ac:dyDescent="0.3">
      <c r="A461" s="27">
        <v>46013</v>
      </c>
      <c r="B461" s="27">
        <v>46009</v>
      </c>
      <c r="C461" s="21" t="s">
        <v>49</v>
      </c>
      <c r="D461" s="57" t="s">
        <v>803</v>
      </c>
      <c r="E461" s="70" t="s">
        <v>986</v>
      </c>
      <c r="F461" s="89"/>
      <c r="G461" s="60"/>
      <c r="H461" s="60"/>
      <c r="I461" s="60"/>
      <c r="J461" s="60"/>
      <c r="K461" s="60"/>
      <c r="L461" s="61">
        <v>14.7</v>
      </c>
      <c r="M461" s="63"/>
      <c r="N461" s="61">
        <v>22.3</v>
      </c>
      <c r="O461" s="64"/>
      <c r="P461" s="64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59">
        <f t="shared" si="35"/>
        <v>46023</v>
      </c>
      <c r="AD461" s="57"/>
      <c r="AE461" s="60"/>
      <c r="AF461" s="59">
        <v>46028</v>
      </c>
      <c r="AG461" s="60"/>
      <c r="AH461" s="57"/>
      <c r="AI461" s="34"/>
      <c r="AJ461" s="34"/>
    </row>
    <row r="462" spans="1:37" s="2" customFormat="1" ht="16.5" x14ac:dyDescent="0.3">
      <c r="A462" s="27">
        <v>46013</v>
      </c>
      <c r="B462" s="27">
        <v>46009</v>
      </c>
      <c r="C462" s="21" t="s">
        <v>49</v>
      </c>
      <c r="D462" s="57" t="s">
        <v>804</v>
      </c>
      <c r="E462" s="70" t="s">
        <v>987</v>
      </c>
      <c r="F462" s="89"/>
      <c r="G462" s="60"/>
      <c r="H462" s="60"/>
      <c r="I462" s="60"/>
      <c r="J462" s="60"/>
      <c r="K462" s="60"/>
      <c r="L462" s="61">
        <v>5.0999999999999996</v>
      </c>
      <c r="M462" s="63"/>
      <c r="N462" s="61">
        <v>11.4</v>
      </c>
      <c r="O462" s="64"/>
      <c r="P462" s="64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59">
        <f t="shared" si="35"/>
        <v>46023</v>
      </c>
      <c r="AD462" s="57"/>
      <c r="AE462" s="60"/>
      <c r="AF462" s="59">
        <v>46028</v>
      </c>
      <c r="AG462" s="60"/>
      <c r="AH462" s="57"/>
      <c r="AI462" s="34"/>
      <c r="AJ462" s="34"/>
    </row>
    <row r="463" spans="1:37" s="2" customFormat="1" ht="16.5" x14ac:dyDescent="0.3">
      <c r="A463" s="27">
        <v>46013</v>
      </c>
      <c r="B463" s="27">
        <v>46009</v>
      </c>
      <c r="C463" s="21" t="s">
        <v>49</v>
      </c>
      <c r="D463" s="57" t="s">
        <v>805</v>
      </c>
      <c r="E463" s="70" t="s">
        <v>990</v>
      </c>
      <c r="F463" s="89"/>
      <c r="G463" s="60"/>
      <c r="H463" s="60"/>
      <c r="I463" s="60"/>
      <c r="J463" s="60"/>
      <c r="K463" s="60"/>
      <c r="L463" s="61">
        <v>37.799999999999997</v>
      </c>
      <c r="M463" s="63"/>
      <c r="N463" s="61">
        <v>177.8</v>
      </c>
      <c r="O463" s="64"/>
      <c r="P463" s="64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59">
        <f t="shared" si="35"/>
        <v>46023</v>
      </c>
      <c r="AD463" s="57"/>
      <c r="AE463" s="60"/>
      <c r="AF463" s="59">
        <v>46028</v>
      </c>
      <c r="AG463" s="60"/>
      <c r="AH463" s="57"/>
      <c r="AI463" s="34"/>
      <c r="AJ463" s="34"/>
    </row>
    <row r="464" spans="1:37" s="2" customFormat="1" ht="16.5" x14ac:dyDescent="0.3">
      <c r="A464" s="27">
        <v>46013</v>
      </c>
      <c r="B464" s="27">
        <v>46009</v>
      </c>
      <c r="C464" s="21" t="s">
        <v>49</v>
      </c>
      <c r="D464" s="57" t="s">
        <v>806</v>
      </c>
      <c r="E464" s="70" t="s">
        <v>991</v>
      </c>
      <c r="F464" s="89"/>
      <c r="G464" s="60"/>
      <c r="H464" s="60"/>
      <c r="I464" s="60"/>
      <c r="J464" s="60"/>
      <c r="K464" s="60"/>
      <c r="L464" s="61">
        <v>49.8</v>
      </c>
      <c r="M464" s="63"/>
      <c r="N464" s="61">
        <v>236.1</v>
      </c>
      <c r="O464" s="64"/>
      <c r="P464" s="64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59">
        <f t="shared" si="35"/>
        <v>46023</v>
      </c>
      <c r="AD464" s="57"/>
      <c r="AE464" s="60"/>
      <c r="AF464" s="59">
        <v>46028</v>
      </c>
      <c r="AG464" s="60"/>
      <c r="AH464" s="57"/>
      <c r="AI464" s="34"/>
      <c r="AJ464" s="34"/>
    </row>
    <row r="465" spans="1:36" s="2" customFormat="1" ht="16.5" x14ac:dyDescent="0.3">
      <c r="A465" s="27">
        <v>46013</v>
      </c>
      <c r="B465" s="27">
        <v>46009</v>
      </c>
      <c r="C465" s="21" t="s">
        <v>49</v>
      </c>
      <c r="D465" s="57" t="s">
        <v>807</v>
      </c>
      <c r="E465" s="70" t="s">
        <v>992</v>
      </c>
      <c r="F465" s="89"/>
      <c r="G465" s="60"/>
      <c r="H465" s="60"/>
      <c r="I465" s="60"/>
      <c r="J465" s="60"/>
      <c r="K465" s="60"/>
      <c r="L465" s="61">
        <v>43.1</v>
      </c>
      <c r="M465" s="63"/>
      <c r="N465" s="61">
        <v>214.2</v>
      </c>
      <c r="O465" s="64"/>
      <c r="P465" s="64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59">
        <f t="shared" si="35"/>
        <v>46023</v>
      </c>
      <c r="AD465" s="57"/>
      <c r="AE465" s="60"/>
      <c r="AF465" s="59">
        <v>46028</v>
      </c>
      <c r="AG465" s="60"/>
      <c r="AH465" s="57"/>
      <c r="AI465" s="34"/>
      <c r="AJ465" s="34"/>
    </row>
    <row r="466" spans="1:36" s="2" customFormat="1" ht="16.5" x14ac:dyDescent="0.3">
      <c r="A466" s="27">
        <v>46013</v>
      </c>
      <c r="B466" s="27">
        <v>46009</v>
      </c>
      <c r="C466" s="21" t="s">
        <v>49</v>
      </c>
      <c r="D466" s="57" t="s">
        <v>808</v>
      </c>
      <c r="E466" s="70" t="s">
        <v>993</v>
      </c>
      <c r="F466" s="89"/>
      <c r="G466" s="60"/>
      <c r="H466" s="60"/>
      <c r="I466" s="60"/>
      <c r="J466" s="60"/>
      <c r="K466" s="60"/>
      <c r="L466" s="61">
        <v>52.9</v>
      </c>
      <c r="M466" s="63"/>
      <c r="N466" s="61">
        <v>258.10000000000002</v>
      </c>
      <c r="O466" s="64"/>
      <c r="P466" s="64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59">
        <f t="shared" si="35"/>
        <v>46023</v>
      </c>
      <c r="AD466" s="57"/>
      <c r="AE466" s="60"/>
      <c r="AF466" s="59">
        <v>46028</v>
      </c>
      <c r="AG466" s="60"/>
      <c r="AH466" s="57"/>
      <c r="AI466" s="34"/>
      <c r="AJ466" s="34"/>
    </row>
    <row r="467" spans="1:36" s="2" customFormat="1" ht="16.5" x14ac:dyDescent="0.3">
      <c r="A467" s="27">
        <v>46013</v>
      </c>
      <c r="B467" s="27">
        <v>46009</v>
      </c>
      <c r="C467" s="21" t="s">
        <v>49</v>
      </c>
      <c r="D467" s="57" t="s">
        <v>809</v>
      </c>
      <c r="E467" s="70" t="s">
        <v>994</v>
      </c>
      <c r="F467" s="89"/>
      <c r="G467" s="60"/>
      <c r="H467" s="60"/>
      <c r="I467" s="60"/>
      <c r="J467" s="60"/>
      <c r="K467" s="60"/>
      <c r="L467" s="61">
        <v>65.3</v>
      </c>
      <c r="M467" s="63"/>
      <c r="N467" s="61">
        <v>509.5</v>
      </c>
      <c r="O467" s="64"/>
      <c r="P467" s="64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59">
        <f t="shared" si="35"/>
        <v>46023</v>
      </c>
      <c r="AD467" s="57"/>
      <c r="AE467" s="60"/>
      <c r="AF467" s="59">
        <v>46028</v>
      </c>
      <c r="AG467" s="60"/>
      <c r="AH467" s="57"/>
      <c r="AI467" s="34"/>
      <c r="AJ467" s="34"/>
    </row>
    <row r="468" spans="1:36" s="2" customFormat="1" ht="16.5" x14ac:dyDescent="0.3">
      <c r="A468" s="27">
        <v>46013</v>
      </c>
      <c r="B468" s="27">
        <v>46009</v>
      </c>
      <c r="C468" s="21" t="s">
        <v>49</v>
      </c>
      <c r="D468" s="57" t="s">
        <v>810</v>
      </c>
      <c r="E468" s="70" t="s">
        <v>995</v>
      </c>
      <c r="F468" s="89"/>
      <c r="G468" s="60"/>
      <c r="H468" s="60"/>
      <c r="I468" s="60"/>
      <c r="J468" s="60"/>
      <c r="K468" s="60"/>
      <c r="L468" s="61">
        <v>89.2</v>
      </c>
      <c r="M468" s="63"/>
      <c r="N468" s="61">
        <v>239.6</v>
      </c>
      <c r="O468" s="64"/>
      <c r="P468" s="64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59">
        <f t="shared" si="35"/>
        <v>46023</v>
      </c>
      <c r="AD468" s="57"/>
      <c r="AE468" s="60"/>
      <c r="AF468" s="59">
        <v>46028</v>
      </c>
      <c r="AG468" s="60"/>
      <c r="AH468" s="57"/>
      <c r="AI468" s="34"/>
      <c r="AJ468" s="34"/>
    </row>
    <row r="469" spans="1:36" s="2" customFormat="1" ht="16.5" x14ac:dyDescent="0.3">
      <c r="A469" s="27">
        <v>46013</v>
      </c>
      <c r="B469" s="27">
        <v>46009</v>
      </c>
      <c r="C469" s="21" t="s">
        <v>49</v>
      </c>
      <c r="D469" s="57" t="s">
        <v>811</v>
      </c>
      <c r="E469" s="70" t="s">
        <v>996</v>
      </c>
      <c r="F469" s="89"/>
      <c r="G469" s="60"/>
      <c r="H469" s="60"/>
      <c r="I469" s="60"/>
      <c r="J469" s="60"/>
      <c r="K469" s="60"/>
      <c r="L469" s="61">
        <v>70</v>
      </c>
      <c r="M469" s="63"/>
      <c r="N469" s="61">
        <v>409.5</v>
      </c>
      <c r="O469" s="64"/>
      <c r="P469" s="64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59">
        <f t="shared" si="35"/>
        <v>46023</v>
      </c>
      <c r="AD469" s="57"/>
      <c r="AE469" s="60"/>
      <c r="AF469" s="59">
        <v>46028</v>
      </c>
      <c r="AG469" s="60"/>
      <c r="AH469" s="57"/>
      <c r="AI469" s="34"/>
      <c r="AJ469" s="34"/>
    </row>
    <row r="470" spans="1:36" s="2" customFormat="1" ht="16.5" x14ac:dyDescent="0.3">
      <c r="A470" s="27">
        <v>46013</v>
      </c>
      <c r="B470" s="27">
        <v>46009</v>
      </c>
      <c r="C470" s="21" t="s">
        <v>49</v>
      </c>
      <c r="D470" s="57" t="s">
        <v>812</v>
      </c>
      <c r="E470" s="70" t="s">
        <v>997</v>
      </c>
      <c r="F470" s="89"/>
      <c r="G470" s="60"/>
      <c r="H470" s="60"/>
      <c r="I470" s="60"/>
      <c r="J470" s="60"/>
      <c r="K470" s="60"/>
      <c r="L470" s="61">
        <v>214.7</v>
      </c>
      <c r="M470" s="63"/>
      <c r="N470" s="61">
        <v>2082.5</v>
      </c>
      <c r="O470" s="64"/>
      <c r="P470" s="64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59">
        <f t="shared" si="35"/>
        <v>46023</v>
      </c>
      <c r="AD470" s="57"/>
      <c r="AE470" s="60"/>
      <c r="AF470" s="59">
        <v>46028</v>
      </c>
      <c r="AG470" s="60"/>
      <c r="AH470" s="57"/>
      <c r="AI470" s="34"/>
      <c r="AJ470" s="34"/>
    </row>
    <row r="471" spans="1:36" s="2" customFormat="1" ht="16.5" x14ac:dyDescent="0.3">
      <c r="A471" s="27">
        <v>46013</v>
      </c>
      <c r="B471" s="27">
        <v>46009</v>
      </c>
      <c r="C471" s="21" t="s">
        <v>49</v>
      </c>
      <c r="D471" s="68" t="s">
        <v>813</v>
      </c>
      <c r="E471" s="86" t="s">
        <v>998</v>
      </c>
      <c r="F471" s="89"/>
      <c r="G471" s="60"/>
      <c r="H471" s="60"/>
      <c r="I471" s="60"/>
      <c r="J471" s="60"/>
      <c r="K471" s="60"/>
      <c r="L471" s="61">
        <v>44.2</v>
      </c>
      <c r="M471" s="63"/>
      <c r="N471" s="61">
        <v>218.8</v>
      </c>
      <c r="O471" s="64"/>
      <c r="P471" s="64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59">
        <f t="shared" si="35"/>
        <v>46023</v>
      </c>
      <c r="AD471" s="57"/>
      <c r="AE471" s="60"/>
      <c r="AF471" s="59">
        <v>46028</v>
      </c>
      <c r="AG471" s="60"/>
      <c r="AH471" s="68" t="s">
        <v>598</v>
      </c>
      <c r="AI471" s="34"/>
      <c r="AJ471" s="34"/>
    </row>
    <row r="472" spans="1:36" s="2" customFormat="1" ht="16.5" x14ac:dyDescent="0.3">
      <c r="A472" s="27">
        <v>46013</v>
      </c>
      <c r="B472" s="27">
        <v>46009</v>
      </c>
      <c r="C472" s="21" t="s">
        <v>49</v>
      </c>
      <c r="D472" s="68" t="s">
        <v>814</v>
      </c>
      <c r="E472" s="86" t="s">
        <v>999</v>
      </c>
      <c r="F472" s="89"/>
      <c r="G472" s="60"/>
      <c r="H472" s="60"/>
      <c r="I472" s="60"/>
      <c r="J472" s="60"/>
      <c r="K472" s="60"/>
      <c r="L472" s="61">
        <v>47.3</v>
      </c>
      <c r="M472" s="63"/>
      <c r="N472" s="61">
        <v>201.7</v>
      </c>
      <c r="O472" s="64"/>
      <c r="P472" s="64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59">
        <f t="shared" si="35"/>
        <v>46023</v>
      </c>
      <c r="AD472" s="57"/>
      <c r="AE472" s="60"/>
      <c r="AF472" s="59">
        <v>46028</v>
      </c>
      <c r="AG472" s="60"/>
      <c r="AH472" s="68" t="s">
        <v>598</v>
      </c>
      <c r="AI472" s="34"/>
      <c r="AJ472" s="34"/>
    </row>
    <row r="473" spans="1:36" s="2" customFormat="1" ht="16.5" x14ac:dyDescent="0.3">
      <c r="A473" s="27">
        <v>46013</v>
      </c>
      <c r="B473" s="27">
        <v>46009</v>
      </c>
      <c r="C473" s="21" t="s">
        <v>49</v>
      </c>
      <c r="D473" s="68" t="s">
        <v>815</v>
      </c>
      <c r="E473" s="86" t="s">
        <v>1000</v>
      </c>
      <c r="F473" s="89"/>
      <c r="G473" s="60"/>
      <c r="H473" s="60"/>
      <c r="I473" s="60"/>
      <c r="J473" s="60"/>
      <c r="K473" s="60"/>
      <c r="L473" s="61">
        <v>50.2</v>
      </c>
      <c r="M473" s="63"/>
      <c r="N473" s="61">
        <v>236.1</v>
      </c>
      <c r="O473" s="64"/>
      <c r="P473" s="64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59">
        <f t="shared" si="35"/>
        <v>46023</v>
      </c>
      <c r="AD473" s="57"/>
      <c r="AE473" s="60"/>
      <c r="AF473" s="59">
        <v>46028</v>
      </c>
      <c r="AG473" s="60"/>
      <c r="AH473" s="68" t="s">
        <v>598</v>
      </c>
      <c r="AI473" s="34"/>
      <c r="AJ473" s="34"/>
    </row>
    <row r="474" spans="1:36" s="2" customFormat="1" ht="16.5" x14ac:dyDescent="0.3">
      <c r="A474" s="27">
        <v>46013</v>
      </c>
      <c r="B474" s="27">
        <v>46009</v>
      </c>
      <c r="C474" s="21" t="s">
        <v>49</v>
      </c>
      <c r="D474" s="68" t="s">
        <v>816</v>
      </c>
      <c r="E474" s="86" t="s">
        <v>1001</v>
      </c>
      <c r="F474" s="89"/>
      <c r="G474" s="60"/>
      <c r="H474" s="60"/>
      <c r="I474" s="60"/>
      <c r="J474" s="60"/>
      <c r="K474" s="60"/>
      <c r="L474" s="61">
        <v>55.6</v>
      </c>
      <c r="M474" s="63"/>
      <c r="N474" s="61">
        <v>323.5</v>
      </c>
      <c r="O474" s="64"/>
      <c r="P474" s="64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59">
        <f t="shared" si="35"/>
        <v>46023</v>
      </c>
      <c r="AD474" s="57"/>
      <c r="AE474" s="60"/>
      <c r="AF474" s="59">
        <v>46028</v>
      </c>
      <c r="AG474" s="60"/>
      <c r="AH474" s="68" t="s">
        <v>598</v>
      </c>
      <c r="AI474" s="34"/>
      <c r="AJ474" s="34"/>
    </row>
    <row r="475" spans="1:36" s="2" customFormat="1" ht="16.5" x14ac:dyDescent="0.3">
      <c r="A475" s="27">
        <v>46013</v>
      </c>
      <c r="B475" s="27">
        <v>46009</v>
      </c>
      <c r="C475" s="21" t="s">
        <v>49</v>
      </c>
      <c r="D475" s="68" t="s">
        <v>1005</v>
      </c>
      <c r="E475" s="86" t="s">
        <v>1006</v>
      </c>
      <c r="F475" s="89"/>
      <c r="G475" s="60"/>
      <c r="H475" s="60"/>
      <c r="I475" s="60"/>
      <c r="J475" s="60"/>
      <c r="K475" s="60"/>
      <c r="L475" s="61">
        <v>56.7</v>
      </c>
      <c r="M475" s="63"/>
      <c r="N475" s="61">
        <v>325.10000000000002</v>
      </c>
      <c r="O475" s="64"/>
      <c r="P475" s="64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59">
        <f t="shared" ref="AC475" si="37">B475+14</f>
        <v>46023</v>
      </c>
      <c r="AD475" s="57"/>
      <c r="AE475" s="60"/>
      <c r="AF475" s="59">
        <v>46028</v>
      </c>
      <c r="AG475" s="60"/>
      <c r="AH475" s="68" t="s">
        <v>598</v>
      </c>
      <c r="AI475" s="34"/>
      <c r="AJ475" s="34"/>
    </row>
    <row r="476" spans="1:36" s="2" customFormat="1" ht="16.5" x14ac:dyDescent="0.3">
      <c r="A476" s="27">
        <v>46013</v>
      </c>
      <c r="B476" s="27">
        <v>46009</v>
      </c>
      <c r="C476" s="21" t="s">
        <v>49</v>
      </c>
      <c r="D476" s="68" t="s">
        <v>817</v>
      </c>
      <c r="E476" s="86" t="s">
        <v>1002</v>
      </c>
      <c r="F476" s="89"/>
      <c r="G476" s="60"/>
      <c r="H476" s="60"/>
      <c r="I476" s="60"/>
      <c r="J476" s="60"/>
      <c r="K476" s="60"/>
      <c r="L476" s="61">
        <v>46.1</v>
      </c>
      <c r="M476" s="63"/>
      <c r="N476" s="61">
        <v>332.7</v>
      </c>
      <c r="O476" s="64"/>
      <c r="P476" s="64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59">
        <f t="shared" si="35"/>
        <v>46023</v>
      </c>
      <c r="AD476" s="57"/>
      <c r="AE476" s="60"/>
      <c r="AF476" s="59">
        <v>46028</v>
      </c>
      <c r="AG476" s="60"/>
      <c r="AH476" s="68" t="s">
        <v>598</v>
      </c>
      <c r="AI476" s="34"/>
      <c r="AJ476" s="34"/>
    </row>
    <row r="477" spans="1:36" s="2" customFormat="1" ht="16.5" x14ac:dyDescent="0.3">
      <c r="A477" s="27">
        <v>46013</v>
      </c>
      <c r="B477" s="27">
        <v>46009</v>
      </c>
      <c r="C477" s="21" t="s">
        <v>49</v>
      </c>
      <c r="D477" s="68" t="s">
        <v>818</v>
      </c>
      <c r="E477" s="86" t="s">
        <v>1003</v>
      </c>
      <c r="F477" s="89"/>
      <c r="G477" s="60"/>
      <c r="H477" s="60"/>
      <c r="I477" s="60"/>
      <c r="J477" s="60"/>
      <c r="K477" s="60"/>
      <c r="L477" s="61">
        <v>46.9</v>
      </c>
      <c r="M477" s="63"/>
      <c r="N477" s="61">
        <v>311</v>
      </c>
      <c r="O477" s="64"/>
      <c r="P477" s="64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59">
        <f t="shared" si="35"/>
        <v>46023</v>
      </c>
      <c r="AD477" s="57"/>
      <c r="AE477" s="60"/>
      <c r="AF477" s="59">
        <v>46028</v>
      </c>
      <c r="AG477" s="60"/>
      <c r="AH477" s="68" t="s">
        <v>598</v>
      </c>
      <c r="AI477" s="34"/>
      <c r="AJ477" s="34"/>
    </row>
    <row r="478" spans="1:36" s="2" customFormat="1" ht="16.5" x14ac:dyDescent="0.3">
      <c r="A478" s="27">
        <v>46013</v>
      </c>
      <c r="B478" s="27">
        <v>46009</v>
      </c>
      <c r="C478" s="21" t="s">
        <v>49</v>
      </c>
      <c r="D478" s="68" t="s">
        <v>819</v>
      </c>
      <c r="E478" s="86" t="s">
        <v>1004</v>
      </c>
      <c r="F478" s="89"/>
      <c r="G478" s="60"/>
      <c r="H478" s="60"/>
      <c r="I478" s="60"/>
      <c r="J478" s="60"/>
      <c r="K478" s="60"/>
      <c r="L478" s="61">
        <v>30.9</v>
      </c>
      <c r="M478" s="63"/>
      <c r="N478" s="61">
        <v>136.4</v>
      </c>
      <c r="O478" s="64"/>
      <c r="P478" s="64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59">
        <f t="shared" si="35"/>
        <v>46023</v>
      </c>
      <c r="AD478" s="57"/>
      <c r="AE478" s="60"/>
      <c r="AF478" s="59">
        <v>46028</v>
      </c>
      <c r="AG478" s="60"/>
      <c r="AH478" s="68" t="s">
        <v>598</v>
      </c>
      <c r="AI478" s="34"/>
      <c r="AJ478" s="34"/>
    </row>
    <row r="479" spans="1:36" s="2" customFormat="1" ht="16.5" x14ac:dyDescent="0.3">
      <c r="A479" s="27">
        <v>46013</v>
      </c>
      <c r="B479" s="27">
        <v>46009</v>
      </c>
      <c r="C479" s="21" t="s">
        <v>49</v>
      </c>
      <c r="D479" s="57" t="s">
        <v>820</v>
      </c>
      <c r="E479" s="70" t="s">
        <v>1007</v>
      </c>
      <c r="F479" s="89"/>
      <c r="G479" s="60"/>
      <c r="H479" s="60"/>
      <c r="I479" s="60"/>
      <c r="J479" s="60"/>
      <c r="K479" s="60"/>
      <c r="L479" s="61">
        <v>43.5</v>
      </c>
      <c r="M479" s="63"/>
      <c r="N479" s="61">
        <v>207.3</v>
      </c>
      <c r="O479" s="64"/>
      <c r="P479" s="64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59">
        <f t="shared" si="35"/>
        <v>46023</v>
      </c>
      <c r="AD479" s="57"/>
      <c r="AE479" s="60"/>
      <c r="AF479" s="59">
        <v>46028</v>
      </c>
      <c r="AG479" s="60"/>
      <c r="AH479" s="57"/>
      <c r="AI479" s="34"/>
      <c r="AJ479" s="34"/>
    </row>
    <row r="480" spans="1:36" s="2" customFormat="1" ht="16.5" x14ac:dyDescent="0.3">
      <c r="A480" s="27">
        <v>46013</v>
      </c>
      <c r="B480" s="27">
        <v>46009</v>
      </c>
      <c r="C480" s="21" t="s">
        <v>49</v>
      </c>
      <c r="D480" s="57" t="s">
        <v>821</v>
      </c>
      <c r="E480" s="70" t="s">
        <v>1008</v>
      </c>
      <c r="F480" s="89"/>
      <c r="G480" s="60"/>
      <c r="H480" s="60"/>
      <c r="I480" s="60"/>
      <c r="J480" s="60"/>
      <c r="K480" s="60"/>
      <c r="L480" s="61">
        <v>44.1</v>
      </c>
      <c r="M480" s="63"/>
      <c r="N480" s="61">
        <v>213.8</v>
      </c>
      <c r="O480" s="64"/>
      <c r="P480" s="64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59">
        <f t="shared" si="35"/>
        <v>46023</v>
      </c>
      <c r="AD480" s="57"/>
      <c r="AE480" s="60"/>
      <c r="AF480" s="59">
        <v>46028</v>
      </c>
      <c r="AG480" s="60"/>
      <c r="AH480" s="57"/>
      <c r="AI480" s="34"/>
      <c r="AJ480" s="34"/>
    </row>
    <row r="481" spans="1:36" s="2" customFormat="1" ht="16.5" x14ac:dyDescent="0.3">
      <c r="A481" s="27">
        <v>46013</v>
      </c>
      <c r="B481" s="27">
        <v>46009</v>
      </c>
      <c r="C481" s="21" t="s">
        <v>49</v>
      </c>
      <c r="D481" s="57" t="s">
        <v>822</v>
      </c>
      <c r="E481" s="70" t="s">
        <v>1009</v>
      </c>
      <c r="F481" s="89"/>
      <c r="G481" s="60"/>
      <c r="H481" s="60"/>
      <c r="I481" s="60"/>
      <c r="J481" s="60"/>
      <c r="K481" s="60"/>
      <c r="L481" s="61">
        <v>53.5</v>
      </c>
      <c r="M481" s="63"/>
      <c r="N481" s="61">
        <v>211.3</v>
      </c>
      <c r="O481" s="64"/>
      <c r="P481" s="64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59">
        <f t="shared" si="35"/>
        <v>46023</v>
      </c>
      <c r="AD481" s="57"/>
      <c r="AE481" s="60"/>
      <c r="AF481" s="59">
        <v>46028</v>
      </c>
      <c r="AG481" s="60"/>
      <c r="AH481" s="57"/>
      <c r="AI481" s="34"/>
      <c r="AJ481" s="34"/>
    </row>
    <row r="482" spans="1:36" s="2" customFormat="1" ht="16.5" x14ac:dyDescent="0.3">
      <c r="A482" s="27">
        <v>46013</v>
      </c>
      <c r="B482" s="27">
        <v>46009</v>
      </c>
      <c r="C482" s="21" t="s">
        <v>49</v>
      </c>
      <c r="D482" s="57" t="s">
        <v>823</v>
      </c>
      <c r="E482" s="70" t="s">
        <v>1010</v>
      </c>
      <c r="F482" s="89"/>
      <c r="G482" s="60"/>
      <c r="H482" s="60"/>
      <c r="I482" s="60"/>
      <c r="J482" s="60"/>
      <c r="K482" s="60"/>
      <c r="L482" s="61">
        <v>99.6</v>
      </c>
      <c r="M482" s="63"/>
      <c r="N482" s="61">
        <v>113.6</v>
      </c>
      <c r="O482" s="64"/>
      <c r="P482" s="64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59">
        <f t="shared" si="35"/>
        <v>46023</v>
      </c>
      <c r="AD482" s="57"/>
      <c r="AE482" s="60"/>
      <c r="AF482" s="59">
        <v>46028</v>
      </c>
      <c r="AG482" s="60"/>
      <c r="AH482" s="57"/>
      <c r="AI482" s="34"/>
      <c r="AJ482" s="34"/>
    </row>
    <row r="483" spans="1:36" s="2" customFormat="1" ht="16.5" x14ac:dyDescent="0.3">
      <c r="A483" s="27">
        <v>46013</v>
      </c>
      <c r="B483" s="27">
        <v>46009</v>
      </c>
      <c r="C483" s="21" t="s">
        <v>49</v>
      </c>
      <c r="D483" s="57" t="s">
        <v>824</v>
      </c>
      <c r="E483" s="70" t="s">
        <v>1011</v>
      </c>
      <c r="F483" s="89"/>
      <c r="G483" s="60"/>
      <c r="H483" s="60"/>
      <c r="I483" s="60"/>
      <c r="J483" s="60"/>
      <c r="K483" s="60"/>
      <c r="L483" s="61">
        <v>83.2</v>
      </c>
      <c r="M483" s="63"/>
      <c r="N483" s="61">
        <v>885.6</v>
      </c>
      <c r="O483" s="64"/>
      <c r="P483" s="64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59">
        <f t="shared" si="35"/>
        <v>46023</v>
      </c>
      <c r="AD483" s="57"/>
      <c r="AE483" s="60"/>
      <c r="AF483" s="59">
        <v>46028</v>
      </c>
      <c r="AG483" s="60"/>
      <c r="AH483" s="57"/>
      <c r="AI483" s="34"/>
      <c r="AJ483" s="34"/>
    </row>
    <row r="484" spans="1:36" s="2" customFormat="1" ht="16.5" x14ac:dyDescent="0.3">
      <c r="A484" s="27">
        <v>46013</v>
      </c>
      <c r="B484" s="27">
        <v>46009</v>
      </c>
      <c r="C484" s="21" t="s">
        <v>49</v>
      </c>
      <c r="D484" s="57" t="s">
        <v>825</v>
      </c>
      <c r="E484" s="70" t="s">
        <v>1012</v>
      </c>
      <c r="F484" s="89"/>
      <c r="G484" s="60"/>
      <c r="H484" s="60"/>
      <c r="I484" s="60"/>
      <c r="J484" s="60"/>
      <c r="K484" s="60"/>
      <c r="L484" s="61">
        <v>169.1</v>
      </c>
      <c r="M484" s="63"/>
      <c r="N484" s="61">
        <v>640.79999999999995</v>
      </c>
      <c r="O484" s="64"/>
      <c r="P484" s="64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59">
        <f t="shared" si="35"/>
        <v>46023</v>
      </c>
      <c r="AD484" s="57"/>
      <c r="AE484" s="60"/>
      <c r="AF484" s="59">
        <v>46028</v>
      </c>
      <c r="AG484" s="60"/>
      <c r="AH484" s="57"/>
      <c r="AI484" s="34"/>
      <c r="AJ484" s="34"/>
    </row>
    <row r="485" spans="1:36" s="2" customFormat="1" ht="16.5" x14ac:dyDescent="0.3">
      <c r="A485" s="27">
        <v>46013</v>
      </c>
      <c r="B485" s="27">
        <v>46009</v>
      </c>
      <c r="C485" s="21" t="s">
        <v>49</v>
      </c>
      <c r="D485" s="57" t="s">
        <v>826</v>
      </c>
      <c r="E485" s="70" t="s">
        <v>1013</v>
      </c>
      <c r="F485" s="58" t="s">
        <v>140</v>
      </c>
      <c r="G485" s="57" t="s">
        <v>457</v>
      </c>
      <c r="H485" s="57" t="s">
        <v>457</v>
      </c>
      <c r="I485" s="57" t="s">
        <v>457</v>
      </c>
      <c r="J485" s="57" t="s">
        <v>457</v>
      </c>
      <c r="K485" s="60"/>
      <c r="L485" s="64"/>
      <c r="M485" s="63"/>
      <c r="N485" s="64"/>
      <c r="O485" s="64"/>
      <c r="P485" s="64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59">
        <f t="shared" ref="AC485" si="38">B485+14</f>
        <v>46023</v>
      </c>
      <c r="AD485" s="57"/>
      <c r="AE485" s="59">
        <v>46021</v>
      </c>
      <c r="AF485" s="60"/>
      <c r="AG485" s="60"/>
      <c r="AH485" s="57"/>
      <c r="AI485" s="34"/>
      <c r="AJ485" s="34"/>
    </row>
    <row r="486" spans="1:36" s="2" customFormat="1" ht="16.5" x14ac:dyDescent="0.3">
      <c r="A486" s="27">
        <v>46013</v>
      </c>
      <c r="B486" s="27">
        <v>46009</v>
      </c>
      <c r="C486" s="21" t="s">
        <v>49</v>
      </c>
      <c r="D486" s="57" t="s">
        <v>827</v>
      </c>
      <c r="E486" s="70" t="s">
        <v>1014</v>
      </c>
      <c r="F486" s="58">
        <v>190</v>
      </c>
      <c r="G486" s="57" t="s">
        <v>457</v>
      </c>
      <c r="H486" s="57" t="s">
        <v>457</v>
      </c>
      <c r="I486" s="57" t="s">
        <v>457</v>
      </c>
      <c r="J486" s="57" t="s">
        <v>457</v>
      </c>
      <c r="K486" s="60"/>
      <c r="L486" s="64"/>
      <c r="M486" s="63"/>
      <c r="N486" s="64"/>
      <c r="O486" s="64"/>
      <c r="P486" s="64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59">
        <f t="shared" si="35"/>
        <v>46023</v>
      </c>
      <c r="AD486" s="57"/>
      <c r="AE486" s="59">
        <v>46021</v>
      </c>
      <c r="AF486" s="60"/>
      <c r="AG486" s="60"/>
      <c r="AH486" s="57"/>
      <c r="AI486" s="34"/>
      <c r="AJ486" s="34"/>
    </row>
    <row r="487" spans="1:36" s="2" customFormat="1" ht="16.5" x14ac:dyDescent="0.3">
      <c r="A487" s="27">
        <v>46013</v>
      </c>
      <c r="B487" s="27">
        <v>46009</v>
      </c>
      <c r="C487" s="21" t="s">
        <v>49</v>
      </c>
      <c r="D487" s="57" t="s">
        <v>1016</v>
      </c>
      <c r="E487" s="70" t="s">
        <v>1017</v>
      </c>
      <c r="F487" s="58">
        <v>202</v>
      </c>
      <c r="G487" s="57" t="s">
        <v>457</v>
      </c>
      <c r="H487" s="57" t="s">
        <v>457</v>
      </c>
      <c r="I487" s="57" t="s">
        <v>457</v>
      </c>
      <c r="J487" s="57" t="s">
        <v>457</v>
      </c>
      <c r="K487" s="60"/>
      <c r="L487" s="64"/>
      <c r="M487" s="63"/>
      <c r="N487" s="64"/>
      <c r="O487" s="64"/>
      <c r="P487" s="64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59">
        <f t="shared" si="35"/>
        <v>46023</v>
      </c>
      <c r="AD487" s="57"/>
      <c r="AE487" s="59">
        <v>46021</v>
      </c>
      <c r="AF487" s="60"/>
      <c r="AG487" s="60"/>
      <c r="AH487" s="57"/>
      <c r="AI487" s="34"/>
      <c r="AJ487" s="34"/>
    </row>
    <row r="488" spans="1:36" s="2" customFormat="1" ht="16.5" x14ac:dyDescent="0.3">
      <c r="A488" s="27">
        <v>46013</v>
      </c>
      <c r="B488" s="27">
        <v>46009</v>
      </c>
      <c r="C488" s="21" t="s">
        <v>49</v>
      </c>
      <c r="D488" s="57" t="s">
        <v>828</v>
      </c>
      <c r="E488" s="70" t="s">
        <v>1015</v>
      </c>
      <c r="F488" s="58" t="s">
        <v>140</v>
      </c>
      <c r="G488" s="57" t="s">
        <v>457</v>
      </c>
      <c r="H488" s="57" t="s">
        <v>457</v>
      </c>
      <c r="I488" s="57" t="s">
        <v>457</v>
      </c>
      <c r="J488" s="57" t="s">
        <v>457</v>
      </c>
      <c r="K488" s="60"/>
      <c r="L488" s="64"/>
      <c r="M488" s="63"/>
      <c r="N488" s="64"/>
      <c r="O488" s="64"/>
      <c r="P488" s="64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59">
        <f t="shared" si="35"/>
        <v>46023</v>
      </c>
      <c r="AD488" s="57"/>
      <c r="AE488" s="59">
        <v>46021</v>
      </c>
      <c r="AF488" s="60"/>
      <c r="AG488" s="60"/>
      <c r="AH488" s="57"/>
      <c r="AI488" s="34"/>
      <c r="AJ488" s="34"/>
    </row>
    <row r="489" spans="1:36" s="2" customFormat="1" ht="16.5" x14ac:dyDescent="0.3">
      <c r="A489" s="27">
        <v>46038</v>
      </c>
      <c r="B489" s="27">
        <v>46035</v>
      </c>
      <c r="C489" s="21" t="s">
        <v>49</v>
      </c>
      <c r="D489" s="57" t="s">
        <v>1084</v>
      </c>
      <c r="E489" s="70" t="s">
        <v>1085</v>
      </c>
      <c r="F489" s="89"/>
      <c r="G489" s="60"/>
      <c r="H489" s="60"/>
      <c r="I489" s="60"/>
      <c r="J489" s="60"/>
      <c r="K489" s="60"/>
      <c r="L489" s="61">
        <v>16.5</v>
      </c>
      <c r="M489" s="64"/>
      <c r="N489" s="61">
        <v>71.7</v>
      </c>
      <c r="O489" s="64"/>
      <c r="P489" s="64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59">
        <f t="shared" ref="AC489" si="39">B489+14</f>
        <v>46049</v>
      </c>
      <c r="AD489" s="57"/>
      <c r="AE489" s="60"/>
      <c r="AF489" s="59">
        <v>46048</v>
      </c>
      <c r="AG489" s="60"/>
      <c r="AH489" s="57"/>
      <c r="AI489" s="34"/>
      <c r="AJ489" s="34"/>
    </row>
    <row r="490" spans="1:36" s="2" customFormat="1" ht="16.5" x14ac:dyDescent="0.3">
      <c r="A490" s="27">
        <v>46038</v>
      </c>
      <c r="B490" s="27">
        <v>46035</v>
      </c>
      <c r="C490" s="21" t="s">
        <v>49</v>
      </c>
      <c r="D490" s="57" t="s">
        <v>1086</v>
      </c>
      <c r="E490" s="70" t="s">
        <v>1087</v>
      </c>
      <c r="F490" s="89"/>
      <c r="G490" s="60"/>
      <c r="H490" s="60"/>
      <c r="I490" s="60"/>
      <c r="J490" s="60"/>
      <c r="K490" s="60"/>
      <c r="L490" s="61">
        <v>15.7</v>
      </c>
      <c r="M490" s="64"/>
      <c r="N490" s="61">
        <v>19.899999999999999</v>
      </c>
      <c r="O490" s="64"/>
      <c r="P490" s="64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59">
        <f t="shared" ref="AC490:AC532" si="40">B490+14</f>
        <v>46049</v>
      </c>
      <c r="AD490" s="57"/>
      <c r="AE490" s="60"/>
      <c r="AF490" s="59">
        <v>46048</v>
      </c>
      <c r="AG490" s="60"/>
      <c r="AH490" s="57"/>
      <c r="AI490" s="34"/>
      <c r="AJ490" s="34"/>
    </row>
    <row r="491" spans="1:36" s="2" customFormat="1" ht="16.5" x14ac:dyDescent="0.3">
      <c r="A491" s="27">
        <v>46038</v>
      </c>
      <c r="B491" s="27">
        <v>46035</v>
      </c>
      <c r="C491" s="21" t="s">
        <v>49</v>
      </c>
      <c r="D491" s="57" t="s">
        <v>1088</v>
      </c>
      <c r="E491" s="70" t="s">
        <v>1089</v>
      </c>
      <c r="F491" s="89"/>
      <c r="G491" s="60"/>
      <c r="H491" s="60"/>
      <c r="I491" s="60"/>
      <c r="J491" s="60"/>
      <c r="K491" s="60"/>
      <c r="L491" s="61">
        <v>15</v>
      </c>
      <c r="M491" s="64"/>
      <c r="N491" s="61">
        <v>15.4</v>
      </c>
      <c r="O491" s="64"/>
      <c r="P491" s="64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59">
        <f t="shared" si="40"/>
        <v>46049</v>
      </c>
      <c r="AD491" s="57"/>
      <c r="AE491" s="60"/>
      <c r="AF491" s="59">
        <v>46048</v>
      </c>
      <c r="AG491" s="60"/>
      <c r="AH491" s="57"/>
      <c r="AI491" s="34"/>
      <c r="AJ491" s="34"/>
    </row>
    <row r="492" spans="1:36" s="2" customFormat="1" ht="16.5" x14ac:dyDescent="0.3">
      <c r="A492" s="27">
        <v>46038</v>
      </c>
      <c r="B492" s="27">
        <v>46035</v>
      </c>
      <c r="C492" s="21" t="s">
        <v>49</v>
      </c>
      <c r="D492" s="57" t="s">
        <v>1090</v>
      </c>
      <c r="E492" s="70" t="s">
        <v>1091</v>
      </c>
      <c r="F492" s="89"/>
      <c r="G492" s="60"/>
      <c r="H492" s="60"/>
      <c r="I492" s="60"/>
      <c r="J492" s="60"/>
      <c r="K492" s="60"/>
      <c r="L492" s="61">
        <v>16.600000000000001</v>
      </c>
      <c r="M492" s="64"/>
      <c r="N492" s="61">
        <v>15.2</v>
      </c>
      <c r="O492" s="64"/>
      <c r="P492" s="64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59">
        <f t="shared" si="40"/>
        <v>46049</v>
      </c>
      <c r="AD492" s="57"/>
      <c r="AE492" s="60"/>
      <c r="AF492" s="59">
        <v>46048</v>
      </c>
      <c r="AG492" s="60"/>
      <c r="AH492" s="57"/>
      <c r="AI492" s="34"/>
      <c r="AJ492" s="34"/>
    </row>
    <row r="493" spans="1:36" s="2" customFormat="1" ht="16.5" x14ac:dyDescent="0.3">
      <c r="A493" s="27">
        <v>46038</v>
      </c>
      <c r="B493" s="27">
        <v>46035</v>
      </c>
      <c r="C493" s="21" t="s">
        <v>49</v>
      </c>
      <c r="D493" s="57" t="s">
        <v>1092</v>
      </c>
      <c r="E493" s="70" t="s">
        <v>1131</v>
      </c>
      <c r="F493" s="89"/>
      <c r="G493" s="60"/>
      <c r="H493" s="60"/>
      <c r="I493" s="60"/>
      <c r="J493" s="60"/>
      <c r="K493" s="60"/>
      <c r="L493" s="61">
        <v>111.2</v>
      </c>
      <c r="M493" s="64"/>
      <c r="N493" s="61">
        <v>814</v>
      </c>
      <c r="O493" s="64"/>
      <c r="P493" s="64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59">
        <f t="shared" si="40"/>
        <v>46049</v>
      </c>
      <c r="AD493" s="57"/>
      <c r="AE493" s="60"/>
      <c r="AF493" s="59">
        <v>46048</v>
      </c>
      <c r="AG493" s="60"/>
      <c r="AH493" s="57"/>
      <c r="AI493" s="34"/>
      <c r="AJ493" s="34"/>
    </row>
    <row r="494" spans="1:36" s="2" customFormat="1" ht="16.5" x14ac:dyDescent="0.3">
      <c r="A494" s="27">
        <v>46038</v>
      </c>
      <c r="B494" s="27">
        <v>46035</v>
      </c>
      <c r="C494" s="21" t="s">
        <v>49</v>
      </c>
      <c r="D494" s="57" t="s">
        <v>1093</v>
      </c>
      <c r="E494" s="70" t="s">
        <v>1132</v>
      </c>
      <c r="F494" s="89"/>
      <c r="G494" s="60"/>
      <c r="H494" s="60"/>
      <c r="I494" s="60"/>
      <c r="J494" s="60"/>
      <c r="K494" s="60"/>
      <c r="L494" s="61">
        <v>74.400000000000006</v>
      </c>
      <c r="M494" s="64"/>
      <c r="N494" s="61">
        <v>503.2</v>
      </c>
      <c r="O494" s="64"/>
      <c r="P494" s="64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59">
        <f t="shared" si="40"/>
        <v>46049</v>
      </c>
      <c r="AD494" s="57"/>
      <c r="AE494" s="60"/>
      <c r="AF494" s="59">
        <v>46048</v>
      </c>
      <c r="AG494" s="60"/>
      <c r="AH494" s="57"/>
      <c r="AI494" s="34"/>
      <c r="AJ494" s="34"/>
    </row>
    <row r="495" spans="1:36" s="2" customFormat="1" ht="16.5" x14ac:dyDescent="0.3">
      <c r="A495" s="27">
        <v>46038</v>
      </c>
      <c r="B495" s="27">
        <v>46035</v>
      </c>
      <c r="C495" s="21" t="s">
        <v>49</v>
      </c>
      <c r="D495" s="57" t="s">
        <v>1094</v>
      </c>
      <c r="E495" s="70" t="s">
        <v>1133</v>
      </c>
      <c r="F495" s="89"/>
      <c r="G495" s="60"/>
      <c r="H495" s="60"/>
      <c r="I495" s="60"/>
      <c r="J495" s="60"/>
      <c r="K495" s="60"/>
      <c r="L495" s="61">
        <v>84.7</v>
      </c>
      <c r="M495" s="64"/>
      <c r="N495" s="61">
        <v>650.20000000000005</v>
      </c>
      <c r="O495" s="64"/>
      <c r="P495" s="64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59">
        <f t="shared" si="40"/>
        <v>46049</v>
      </c>
      <c r="AD495" s="57"/>
      <c r="AE495" s="60"/>
      <c r="AF495" s="59">
        <v>46048</v>
      </c>
      <c r="AG495" s="60"/>
      <c r="AH495" s="57"/>
      <c r="AI495" s="34"/>
      <c r="AJ495" s="34"/>
    </row>
    <row r="496" spans="1:36" s="2" customFormat="1" ht="16.5" x14ac:dyDescent="0.3">
      <c r="A496" s="27">
        <v>46038</v>
      </c>
      <c r="B496" s="27">
        <v>46035</v>
      </c>
      <c r="C496" s="21" t="s">
        <v>49</v>
      </c>
      <c r="D496" s="57" t="s">
        <v>1095</v>
      </c>
      <c r="E496" s="70" t="s">
        <v>1134</v>
      </c>
      <c r="F496" s="89"/>
      <c r="G496" s="60"/>
      <c r="H496" s="60"/>
      <c r="I496" s="60"/>
      <c r="J496" s="60"/>
      <c r="K496" s="60"/>
      <c r="L496" s="61">
        <v>30.4</v>
      </c>
      <c r="M496" s="64"/>
      <c r="N496" s="61">
        <v>121.8</v>
      </c>
      <c r="O496" s="64"/>
      <c r="P496" s="64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59">
        <f t="shared" si="40"/>
        <v>46049</v>
      </c>
      <c r="AD496" s="57"/>
      <c r="AE496" s="60"/>
      <c r="AF496" s="59">
        <v>46048</v>
      </c>
      <c r="AG496" s="60"/>
      <c r="AH496" s="57"/>
      <c r="AI496" s="34"/>
      <c r="AJ496" s="34"/>
    </row>
    <row r="497" spans="1:36" s="2" customFormat="1" ht="16.5" x14ac:dyDescent="0.3">
      <c r="A497" s="27">
        <v>46038</v>
      </c>
      <c r="B497" s="27">
        <v>46035</v>
      </c>
      <c r="C497" s="21" t="s">
        <v>49</v>
      </c>
      <c r="D497" s="57" t="s">
        <v>1096</v>
      </c>
      <c r="E497" s="70" t="s">
        <v>1135</v>
      </c>
      <c r="F497" s="89"/>
      <c r="G497" s="60"/>
      <c r="H497" s="60"/>
      <c r="I497" s="60"/>
      <c r="J497" s="60"/>
      <c r="K497" s="60"/>
      <c r="L497" s="61">
        <v>85.3</v>
      </c>
      <c r="M497" s="64"/>
      <c r="N497" s="61">
        <v>288.7</v>
      </c>
      <c r="O497" s="64"/>
      <c r="P497" s="64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59">
        <f t="shared" si="40"/>
        <v>46049</v>
      </c>
      <c r="AD497" s="57"/>
      <c r="AE497" s="60"/>
      <c r="AF497" s="59">
        <v>46048</v>
      </c>
      <c r="AG497" s="60"/>
      <c r="AH497" s="57"/>
      <c r="AI497" s="34"/>
      <c r="AJ497" s="34"/>
    </row>
    <row r="498" spans="1:36" s="2" customFormat="1" ht="16.5" x14ac:dyDescent="0.3">
      <c r="A498" s="27">
        <v>46038</v>
      </c>
      <c r="B498" s="27">
        <v>46035</v>
      </c>
      <c r="C498" s="21" t="s">
        <v>49</v>
      </c>
      <c r="D498" s="57" t="s">
        <v>1097</v>
      </c>
      <c r="E498" s="70" t="s">
        <v>1136</v>
      </c>
      <c r="F498" s="89"/>
      <c r="G498" s="60"/>
      <c r="H498" s="60"/>
      <c r="I498" s="60"/>
      <c r="J498" s="60"/>
      <c r="K498" s="60"/>
      <c r="L498" s="61">
        <v>24.8</v>
      </c>
      <c r="M498" s="64"/>
      <c r="N498" s="61">
        <v>115.8</v>
      </c>
      <c r="O498" s="64"/>
      <c r="P498" s="64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59">
        <f t="shared" si="40"/>
        <v>46049</v>
      </c>
      <c r="AD498" s="57"/>
      <c r="AE498" s="60"/>
      <c r="AF498" s="59">
        <v>46048</v>
      </c>
      <c r="AG498" s="60"/>
      <c r="AH498" s="57"/>
      <c r="AI498" s="34"/>
      <c r="AJ498" s="34"/>
    </row>
    <row r="499" spans="1:36" s="2" customFormat="1" ht="16.5" x14ac:dyDescent="0.3">
      <c r="A499" s="27">
        <v>46038</v>
      </c>
      <c r="B499" s="27">
        <v>46035</v>
      </c>
      <c r="C499" s="21" t="s">
        <v>49</v>
      </c>
      <c r="D499" s="57" t="s">
        <v>1098</v>
      </c>
      <c r="E499" s="70" t="s">
        <v>1137</v>
      </c>
      <c r="F499" s="89"/>
      <c r="G499" s="60"/>
      <c r="H499" s="60"/>
      <c r="I499" s="60"/>
      <c r="J499" s="60"/>
      <c r="K499" s="60"/>
      <c r="L499" s="61">
        <v>16.2</v>
      </c>
      <c r="M499" s="64"/>
      <c r="N499" s="61">
        <v>20.2</v>
      </c>
      <c r="O499" s="64"/>
      <c r="P499" s="64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59">
        <f t="shared" si="40"/>
        <v>46049</v>
      </c>
      <c r="AD499" s="57"/>
      <c r="AE499" s="60"/>
      <c r="AF499" s="59">
        <v>46048</v>
      </c>
      <c r="AG499" s="60"/>
      <c r="AH499" s="57"/>
      <c r="AI499" s="34"/>
      <c r="AJ499" s="34"/>
    </row>
    <row r="500" spans="1:36" s="2" customFormat="1" ht="16.5" x14ac:dyDescent="0.3">
      <c r="A500" s="27">
        <v>46038</v>
      </c>
      <c r="B500" s="27">
        <v>46035</v>
      </c>
      <c r="C500" s="21" t="s">
        <v>49</v>
      </c>
      <c r="D500" s="57" t="s">
        <v>1099</v>
      </c>
      <c r="E500" s="70" t="s">
        <v>1138</v>
      </c>
      <c r="F500" s="89"/>
      <c r="G500" s="60"/>
      <c r="H500" s="60"/>
      <c r="I500" s="60"/>
      <c r="J500" s="60"/>
      <c r="K500" s="60"/>
      <c r="L500" s="61">
        <v>6.3</v>
      </c>
      <c r="M500" s="64"/>
      <c r="N500" s="61">
        <v>13.8</v>
      </c>
      <c r="O500" s="64"/>
      <c r="P500" s="64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59">
        <f t="shared" si="40"/>
        <v>46049</v>
      </c>
      <c r="AD500" s="57"/>
      <c r="AE500" s="60"/>
      <c r="AF500" s="59">
        <v>46048</v>
      </c>
      <c r="AG500" s="60"/>
      <c r="AH500" s="57"/>
      <c r="AI500" s="34"/>
      <c r="AJ500" s="34"/>
    </row>
    <row r="501" spans="1:36" s="2" customFormat="1" ht="16.5" x14ac:dyDescent="0.3">
      <c r="A501" s="27">
        <v>46038</v>
      </c>
      <c r="B501" s="27">
        <v>46035</v>
      </c>
      <c r="C501" s="21" t="s">
        <v>49</v>
      </c>
      <c r="D501" s="57" t="s">
        <v>1139</v>
      </c>
      <c r="E501" s="70" t="s">
        <v>1140</v>
      </c>
      <c r="F501" s="89"/>
      <c r="G501" s="60"/>
      <c r="H501" s="60"/>
      <c r="I501" s="60"/>
      <c r="J501" s="60"/>
      <c r="K501" s="60"/>
      <c r="L501" s="61">
        <v>6.4</v>
      </c>
      <c r="M501" s="64"/>
      <c r="N501" s="61">
        <v>13.9</v>
      </c>
      <c r="O501" s="64"/>
      <c r="P501" s="64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59">
        <f t="shared" ref="AC501" si="41">B501+14</f>
        <v>46049</v>
      </c>
      <c r="AD501" s="57"/>
      <c r="AE501" s="60"/>
      <c r="AF501" s="59">
        <v>46048</v>
      </c>
      <c r="AG501" s="60"/>
      <c r="AH501" s="57"/>
      <c r="AI501" s="34"/>
      <c r="AJ501" s="34"/>
    </row>
    <row r="502" spans="1:36" s="2" customFormat="1" ht="16.5" x14ac:dyDescent="0.3">
      <c r="A502" s="27">
        <v>46038</v>
      </c>
      <c r="B502" s="27">
        <v>46035</v>
      </c>
      <c r="C502" s="21" t="s">
        <v>49</v>
      </c>
      <c r="D502" s="57" t="s">
        <v>1100</v>
      </c>
      <c r="E502" s="70" t="s">
        <v>1141</v>
      </c>
      <c r="F502" s="89"/>
      <c r="G502" s="60"/>
      <c r="H502" s="60"/>
      <c r="I502" s="60"/>
      <c r="J502" s="60"/>
      <c r="K502" s="60"/>
      <c r="L502" s="61">
        <v>24.7</v>
      </c>
      <c r="M502" s="64"/>
      <c r="N502" s="61">
        <v>47</v>
      </c>
      <c r="O502" s="64"/>
      <c r="P502" s="64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59">
        <f t="shared" si="40"/>
        <v>46049</v>
      </c>
      <c r="AD502" s="57"/>
      <c r="AE502" s="60"/>
      <c r="AF502" s="59">
        <v>46048</v>
      </c>
      <c r="AG502" s="60"/>
      <c r="AH502" s="57"/>
      <c r="AI502" s="34"/>
      <c r="AJ502" s="34"/>
    </row>
    <row r="503" spans="1:36" s="2" customFormat="1" ht="16.5" x14ac:dyDescent="0.3">
      <c r="A503" s="27">
        <v>46038</v>
      </c>
      <c r="B503" s="27">
        <v>46035</v>
      </c>
      <c r="C503" s="21" t="s">
        <v>49</v>
      </c>
      <c r="D503" s="57" t="s">
        <v>1101</v>
      </c>
      <c r="E503" s="70" t="s">
        <v>1142</v>
      </c>
      <c r="F503" s="89"/>
      <c r="G503" s="60"/>
      <c r="H503" s="60"/>
      <c r="I503" s="60"/>
      <c r="J503" s="60"/>
      <c r="K503" s="60"/>
      <c r="L503" s="61">
        <v>25.3</v>
      </c>
      <c r="M503" s="64"/>
      <c r="N503" s="61">
        <v>73.5</v>
      </c>
      <c r="O503" s="64"/>
      <c r="P503" s="64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59">
        <f t="shared" si="40"/>
        <v>46049</v>
      </c>
      <c r="AD503" s="57"/>
      <c r="AE503" s="60"/>
      <c r="AF503" s="59">
        <v>46048</v>
      </c>
      <c r="AG503" s="60"/>
      <c r="AH503" s="57"/>
      <c r="AI503" s="34"/>
      <c r="AJ503" s="34"/>
    </row>
    <row r="504" spans="1:36" s="2" customFormat="1" ht="16.5" x14ac:dyDescent="0.3">
      <c r="A504" s="27">
        <v>46038</v>
      </c>
      <c r="B504" s="27">
        <v>46035</v>
      </c>
      <c r="C504" s="21" t="s">
        <v>49</v>
      </c>
      <c r="D504" s="57" t="s">
        <v>1102</v>
      </c>
      <c r="E504" s="70" t="s">
        <v>1143</v>
      </c>
      <c r="F504" s="89"/>
      <c r="G504" s="60"/>
      <c r="H504" s="60"/>
      <c r="I504" s="60"/>
      <c r="J504" s="60"/>
      <c r="K504" s="60"/>
      <c r="L504" s="61">
        <v>50.1</v>
      </c>
      <c r="M504" s="64"/>
      <c r="N504" s="61">
        <v>249.9</v>
      </c>
      <c r="O504" s="64"/>
      <c r="P504" s="64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59">
        <f t="shared" si="40"/>
        <v>46049</v>
      </c>
      <c r="AD504" s="57"/>
      <c r="AE504" s="60"/>
      <c r="AF504" s="59">
        <v>46048</v>
      </c>
      <c r="AG504" s="60"/>
      <c r="AH504" s="57"/>
      <c r="AI504" s="34"/>
      <c r="AJ504" s="34"/>
    </row>
    <row r="505" spans="1:36" s="2" customFormat="1" ht="16.5" x14ac:dyDescent="0.3">
      <c r="A505" s="27">
        <v>46038</v>
      </c>
      <c r="B505" s="27">
        <v>46035</v>
      </c>
      <c r="C505" s="21" t="s">
        <v>49</v>
      </c>
      <c r="D505" s="57" t="s">
        <v>1103</v>
      </c>
      <c r="E505" s="70" t="s">
        <v>1144</v>
      </c>
      <c r="F505" s="89"/>
      <c r="G505" s="60"/>
      <c r="H505" s="60"/>
      <c r="I505" s="60"/>
      <c r="J505" s="60"/>
      <c r="K505" s="60"/>
      <c r="L505" s="61">
        <v>63.1</v>
      </c>
      <c r="M505" s="64"/>
      <c r="N505" s="61">
        <v>221.3</v>
      </c>
      <c r="O505" s="64"/>
      <c r="P505" s="64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59">
        <f t="shared" si="40"/>
        <v>46049</v>
      </c>
      <c r="AD505" s="57"/>
      <c r="AE505" s="60"/>
      <c r="AF505" s="59">
        <v>46048</v>
      </c>
      <c r="AG505" s="60"/>
      <c r="AH505" s="57"/>
      <c r="AI505" s="34"/>
      <c r="AJ505" s="34"/>
    </row>
    <row r="506" spans="1:36" s="2" customFormat="1" ht="16.5" x14ac:dyDescent="0.3">
      <c r="A506" s="27">
        <v>46038</v>
      </c>
      <c r="B506" s="27">
        <v>46035</v>
      </c>
      <c r="C506" s="21" t="s">
        <v>49</v>
      </c>
      <c r="D506" s="57" t="s">
        <v>1145</v>
      </c>
      <c r="E506" s="70" t="s">
        <v>1080</v>
      </c>
      <c r="F506" s="89"/>
      <c r="G506" s="60"/>
      <c r="H506" s="60"/>
      <c r="I506" s="60"/>
      <c r="J506" s="60"/>
      <c r="K506" s="60"/>
      <c r="L506" s="61" t="s">
        <v>140</v>
      </c>
      <c r="M506" s="64"/>
      <c r="N506" s="61" t="s">
        <v>140</v>
      </c>
      <c r="O506" s="64"/>
      <c r="P506" s="64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59">
        <f t="shared" ref="AC506:AC507" si="42">B506+14</f>
        <v>46049</v>
      </c>
      <c r="AD506" s="57"/>
      <c r="AE506" s="60"/>
      <c r="AF506" s="59">
        <v>46048</v>
      </c>
      <c r="AG506" s="60"/>
      <c r="AH506" s="57"/>
      <c r="AI506" s="34"/>
      <c r="AJ506" s="34"/>
    </row>
    <row r="507" spans="1:36" s="2" customFormat="1" ht="16.5" x14ac:dyDescent="0.3">
      <c r="A507" s="27">
        <v>46038</v>
      </c>
      <c r="B507" s="27">
        <v>46035</v>
      </c>
      <c r="C507" s="21" t="s">
        <v>49</v>
      </c>
      <c r="D507" s="57" t="s">
        <v>1146</v>
      </c>
      <c r="E507" s="70" t="s">
        <v>1081</v>
      </c>
      <c r="F507" s="89"/>
      <c r="G507" s="60"/>
      <c r="H507" s="60"/>
      <c r="I507" s="60"/>
      <c r="J507" s="60"/>
      <c r="K507" s="60"/>
      <c r="L507" s="61" t="s">
        <v>140</v>
      </c>
      <c r="M507" s="64"/>
      <c r="N507" s="61" t="s">
        <v>140</v>
      </c>
      <c r="O507" s="64"/>
      <c r="P507" s="64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59">
        <f t="shared" si="42"/>
        <v>46049</v>
      </c>
      <c r="AD507" s="57"/>
      <c r="AE507" s="60"/>
      <c r="AF507" s="59">
        <v>46048</v>
      </c>
      <c r="AG507" s="60"/>
      <c r="AH507" s="57"/>
      <c r="AI507" s="34"/>
      <c r="AJ507" s="34"/>
    </row>
    <row r="508" spans="1:36" s="2" customFormat="1" ht="16.5" x14ac:dyDescent="0.3">
      <c r="A508" s="27">
        <v>46038</v>
      </c>
      <c r="B508" s="27">
        <v>46036</v>
      </c>
      <c r="C508" s="21" t="s">
        <v>49</v>
      </c>
      <c r="D508" s="57" t="s">
        <v>1104</v>
      </c>
      <c r="E508" s="70" t="s">
        <v>1147</v>
      </c>
      <c r="F508" s="89"/>
      <c r="G508" s="60"/>
      <c r="H508" s="60"/>
      <c r="I508" s="60"/>
      <c r="J508" s="60"/>
      <c r="K508" s="60"/>
      <c r="L508" s="61">
        <v>25.3</v>
      </c>
      <c r="M508" s="64"/>
      <c r="N508" s="61">
        <v>115.9</v>
      </c>
      <c r="O508" s="64"/>
      <c r="P508" s="64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59">
        <f t="shared" si="40"/>
        <v>46050</v>
      </c>
      <c r="AD508" s="57"/>
      <c r="AE508" s="60"/>
      <c r="AF508" s="59">
        <v>46048</v>
      </c>
      <c r="AG508" s="60"/>
      <c r="AH508" s="57"/>
      <c r="AI508" s="34"/>
      <c r="AJ508" s="34"/>
    </row>
    <row r="509" spans="1:36" s="2" customFormat="1" ht="16.5" x14ac:dyDescent="0.3">
      <c r="A509" s="27">
        <v>46038</v>
      </c>
      <c r="B509" s="27">
        <v>46036</v>
      </c>
      <c r="C509" s="21" t="s">
        <v>49</v>
      </c>
      <c r="D509" s="57" t="s">
        <v>1105</v>
      </c>
      <c r="E509" s="70" t="s">
        <v>1148</v>
      </c>
      <c r="F509" s="89"/>
      <c r="G509" s="60"/>
      <c r="H509" s="60"/>
      <c r="I509" s="60"/>
      <c r="J509" s="60"/>
      <c r="K509" s="60"/>
      <c r="L509" s="61">
        <v>46.4</v>
      </c>
      <c r="M509" s="64"/>
      <c r="N509" s="61">
        <v>204</v>
      </c>
      <c r="O509" s="64"/>
      <c r="P509" s="64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59">
        <f t="shared" si="40"/>
        <v>46050</v>
      </c>
      <c r="AD509" s="57"/>
      <c r="AE509" s="60"/>
      <c r="AF509" s="59">
        <v>46048</v>
      </c>
      <c r="AG509" s="60"/>
      <c r="AH509" s="57"/>
      <c r="AI509" s="34"/>
      <c r="AJ509" s="34"/>
    </row>
    <row r="510" spans="1:36" s="2" customFormat="1" ht="16.5" x14ac:dyDescent="0.3">
      <c r="A510" s="27">
        <v>46038</v>
      </c>
      <c r="B510" s="27">
        <v>46036</v>
      </c>
      <c r="C510" s="21" t="s">
        <v>49</v>
      </c>
      <c r="D510" s="57" t="s">
        <v>1106</v>
      </c>
      <c r="E510" s="70" t="s">
        <v>1149</v>
      </c>
      <c r="F510" s="89"/>
      <c r="G510" s="60"/>
      <c r="H510" s="60"/>
      <c r="I510" s="60"/>
      <c r="J510" s="60"/>
      <c r="K510" s="60"/>
      <c r="L510" s="61">
        <v>180.7</v>
      </c>
      <c r="M510" s="64"/>
      <c r="N510" s="61">
        <v>1660.6</v>
      </c>
      <c r="O510" s="64"/>
      <c r="P510" s="64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59">
        <f t="shared" si="40"/>
        <v>46050</v>
      </c>
      <c r="AD510" s="57"/>
      <c r="AE510" s="60"/>
      <c r="AF510" s="59">
        <v>46048</v>
      </c>
      <c r="AG510" s="60"/>
      <c r="AH510" s="57"/>
      <c r="AI510" s="34"/>
      <c r="AJ510" s="34"/>
    </row>
    <row r="511" spans="1:36" s="2" customFormat="1" ht="16.5" x14ac:dyDescent="0.3">
      <c r="A511" s="27">
        <v>46038</v>
      </c>
      <c r="B511" s="27">
        <v>46036</v>
      </c>
      <c r="C511" s="21" t="s">
        <v>49</v>
      </c>
      <c r="D511" s="57" t="s">
        <v>1107</v>
      </c>
      <c r="E511" s="70" t="s">
        <v>1150</v>
      </c>
      <c r="F511" s="89"/>
      <c r="G511" s="60"/>
      <c r="H511" s="60"/>
      <c r="I511" s="60"/>
      <c r="J511" s="60"/>
      <c r="K511" s="60"/>
      <c r="L511" s="61">
        <v>213.2</v>
      </c>
      <c r="M511" s="64"/>
      <c r="N511" s="61">
        <v>1991.5</v>
      </c>
      <c r="O511" s="64"/>
      <c r="P511" s="64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59">
        <f t="shared" si="40"/>
        <v>46050</v>
      </c>
      <c r="AD511" s="57"/>
      <c r="AE511" s="60"/>
      <c r="AF511" s="59">
        <v>46048</v>
      </c>
      <c r="AG511" s="60"/>
      <c r="AH511" s="57"/>
      <c r="AI511" s="34"/>
      <c r="AJ511" s="34"/>
    </row>
    <row r="512" spans="1:36" s="2" customFormat="1" ht="16.5" x14ac:dyDescent="0.3">
      <c r="A512" s="27">
        <v>46038</v>
      </c>
      <c r="B512" s="27">
        <v>46036</v>
      </c>
      <c r="C512" s="21" t="s">
        <v>49</v>
      </c>
      <c r="D512" s="57" t="s">
        <v>1108</v>
      </c>
      <c r="E512" s="70" t="s">
        <v>1151</v>
      </c>
      <c r="F512" s="89"/>
      <c r="G512" s="60"/>
      <c r="H512" s="60"/>
      <c r="I512" s="60"/>
      <c r="J512" s="60"/>
      <c r="K512" s="60"/>
      <c r="L512" s="61">
        <v>64.5</v>
      </c>
      <c r="M512" s="64"/>
      <c r="N512" s="61">
        <v>630.79999999999995</v>
      </c>
      <c r="O512" s="64"/>
      <c r="P512" s="64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59">
        <f t="shared" si="40"/>
        <v>46050</v>
      </c>
      <c r="AD512" s="57"/>
      <c r="AE512" s="60"/>
      <c r="AF512" s="59">
        <v>46048</v>
      </c>
      <c r="AG512" s="60"/>
      <c r="AH512" s="57"/>
      <c r="AI512" s="34"/>
      <c r="AJ512" s="34"/>
    </row>
    <row r="513" spans="1:36" s="2" customFormat="1" ht="16.5" x14ac:dyDescent="0.3">
      <c r="A513" s="27">
        <v>46038</v>
      </c>
      <c r="B513" s="27">
        <v>46036</v>
      </c>
      <c r="C513" s="21" t="s">
        <v>49</v>
      </c>
      <c r="D513" s="57" t="s">
        <v>1109</v>
      </c>
      <c r="E513" s="70" t="s">
        <v>1152</v>
      </c>
      <c r="F513" s="89"/>
      <c r="G513" s="60"/>
      <c r="H513" s="60"/>
      <c r="I513" s="60"/>
      <c r="J513" s="60"/>
      <c r="K513" s="60"/>
      <c r="L513" s="61">
        <v>296.89999999999998</v>
      </c>
      <c r="M513" s="64"/>
      <c r="N513" s="61">
        <v>2469.1</v>
      </c>
      <c r="O513" s="64"/>
      <c r="P513" s="64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59">
        <f t="shared" si="40"/>
        <v>46050</v>
      </c>
      <c r="AD513" s="57"/>
      <c r="AE513" s="60"/>
      <c r="AF513" s="59">
        <v>46048</v>
      </c>
      <c r="AG513" s="60"/>
      <c r="AH513" s="57"/>
      <c r="AI513" s="34"/>
      <c r="AJ513" s="34"/>
    </row>
    <row r="514" spans="1:36" s="2" customFormat="1" ht="16.5" x14ac:dyDescent="0.3">
      <c r="A514" s="27">
        <v>46038</v>
      </c>
      <c r="B514" s="27">
        <v>46036</v>
      </c>
      <c r="C514" s="21" t="s">
        <v>49</v>
      </c>
      <c r="D514" s="57" t="s">
        <v>1110</v>
      </c>
      <c r="E514" s="70" t="s">
        <v>1153</v>
      </c>
      <c r="F514" s="89"/>
      <c r="G514" s="60"/>
      <c r="H514" s="60"/>
      <c r="I514" s="60"/>
      <c r="J514" s="60"/>
      <c r="K514" s="60"/>
      <c r="L514" s="61">
        <v>21.7</v>
      </c>
      <c r="M514" s="64"/>
      <c r="N514" s="61">
        <v>41.6</v>
      </c>
      <c r="O514" s="64"/>
      <c r="P514" s="64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59">
        <f t="shared" si="40"/>
        <v>46050</v>
      </c>
      <c r="AD514" s="57"/>
      <c r="AE514" s="60"/>
      <c r="AF514" s="59">
        <v>46048</v>
      </c>
      <c r="AG514" s="60"/>
      <c r="AH514" s="57"/>
      <c r="AI514" s="34"/>
      <c r="AJ514" s="34"/>
    </row>
    <row r="515" spans="1:36" s="2" customFormat="1" ht="16.5" x14ac:dyDescent="0.3">
      <c r="A515" s="27">
        <v>46038</v>
      </c>
      <c r="B515" s="27">
        <v>46036</v>
      </c>
      <c r="C515" s="21" t="s">
        <v>49</v>
      </c>
      <c r="D515" s="57" t="s">
        <v>1111</v>
      </c>
      <c r="E515" s="70" t="s">
        <v>1154</v>
      </c>
      <c r="F515" s="89"/>
      <c r="G515" s="60"/>
      <c r="H515" s="60"/>
      <c r="I515" s="60"/>
      <c r="J515" s="60"/>
      <c r="K515" s="60"/>
      <c r="L515" s="61">
        <v>22.8</v>
      </c>
      <c r="M515" s="64"/>
      <c r="N515" s="61">
        <v>36.1</v>
      </c>
      <c r="O515" s="64"/>
      <c r="P515" s="64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59">
        <f t="shared" si="40"/>
        <v>46050</v>
      </c>
      <c r="AD515" s="57"/>
      <c r="AE515" s="60"/>
      <c r="AF515" s="59">
        <v>46048</v>
      </c>
      <c r="AG515" s="60"/>
      <c r="AH515" s="57"/>
      <c r="AI515" s="34"/>
      <c r="AJ515" s="34"/>
    </row>
    <row r="516" spans="1:36" s="2" customFormat="1" ht="16.5" x14ac:dyDescent="0.3">
      <c r="A516" s="27">
        <v>46038</v>
      </c>
      <c r="B516" s="27">
        <v>46036</v>
      </c>
      <c r="C516" s="21" t="s">
        <v>49</v>
      </c>
      <c r="D516" s="57" t="s">
        <v>1112</v>
      </c>
      <c r="E516" s="70" t="s">
        <v>1155</v>
      </c>
      <c r="F516" s="89"/>
      <c r="G516" s="60"/>
      <c r="H516" s="60"/>
      <c r="I516" s="60"/>
      <c r="J516" s="60"/>
      <c r="K516" s="60"/>
      <c r="L516" s="61">
        <v>266.2</v>
      </c>
      <c r="M516" s="64"/>
      <c r="N516" s="61">
        <v>530</v>
      </c>
      <c r="O516" s="64"/>
      <c r="P516" s="64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59">
        <f t="shared" si="40"/>
        <v>46050</v>
      </c>
      <c r="AD516" s="57"/>
      <c r="AE516" s="60"/>
      <c r="AF516" s="59">
        <v>46048</v>
      </c>
      <c r="AG516" s="60"/>
      <c r="AH516" s="57"/>
      <c r="AI516" s="34"/>
      <c r="AJ516" s="34"/>
    </row>
    <row r="517" spans="1:36" s="2" customFormat="1" ht="16.5" x14ac:dyDescent="0.3">
      <c r="A517" s="27">
        <v>46038</v>
      </c>
      <c r="B517" s="27">
        <v>46036</v>
      </c>
      <c r="C517" s="21" t="s">
        <v>49</v>
      </c>
      <c r="D517" s="57" t="s">
        <v>1113</v>
      </c>
      <c r="E517" s="70" t="s">
        <v>1156</v>
      </c>
      <c r="F517" s="89"/>
      <c r="G517" s="60"/>
      <c r="H517" s="60"/>
      <c r="I517" s="60"/>
      <c r="J517" s="60"/>
      <c r="K517" s="60"/>
      <c r="L517" s="61">
        <v>108.2</v>
      </c>
      <c r="M517" s="64"/>
      <c r="N517" s="61">
        <v>493.1</v>
      </c>
      <c r="O517" s="64"/>
      <c r="P517" s="64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59">
        <f t="shared" si="40"/>
        <v>46050</v>
      </c>
      <c r="AD517" s="57"/>
      <c r="AE517" s="60"/>
      <c r="AF517" s="59">
        <v>46048</v>
      </c>
      <c r="AG517" s="60"/>
      <c r="AH517" s="57"/>
      <c r="AI517" s="34"/>
      <c r="AJ517" s="34"/>
    </row>
    <row r="518" spans="1:36" s="2" customFormat="1" ht="16.5" x14ac:dyDescent="0.3">
      <c r="A518" s="27">
        <v>46038</v>
      </c>
      <c r="B518" s="27">
        <v>46036</v>
      </c>
      <c r="C518" s="21" t="s">
        <v>49</v>
      </c>
      <c r="D518" s="57" t="s">
        <v>1114</v>
      </c>
      <c r="E518" s="70" t="s">
        <v>1157</v>
      </c>
      <c r="F518" s="89"/>
      <c r="G518" s="60"/>
      <c r="H518" s="60"/>
      <c r="I518" s="60"/>
      <c r="J518" s="60"/>
      <c r="K518" s="60"/>
      <c r="L518" s="61">
        <v>46.7</v>
      </c>
      <c r="M518" s="64"/>
      <c r="N518" s="61">
        <v>95.1</v>
      </c>
      <c r="O518" s="64"/>
      <c r="P518" s="64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59">
        <f t="shared" si="40"/>
        <v>46050</v>
      </c>
      <c r="AD518" s="57"/>
      <c r="AE518" s="60"/>
      <c r="AF518" s="59">
        <v>46048</v>
      </c>
      <c r="AG518" s="60"/>
      <c r="AH518" s="57"/>
      <c r="AI518" s="34"/>
      <c r="AJ518" s="34"/>
    </row>
    <row r="519" spans="1:36" s="2" customFormat="1" ht="16.5" x14ac:dyDescent="0.3">
      <c r="A519" s="27">
        <v>46038</v>
      </c>
      <c r="B519" s="27">
        <v>46036</v>
      </c>
      <c r="C519" s="21" t="s">
        <v>49</v>
      </c>
      <c r="D519" s="57" t="s">
        <v>1115</v>
      </c>
      <c r="E519" s="70" t="s">
        <v>1158</v>
      </c>
      <c r="F519" s="89"/>
      <c r="G519" s="60"/>
      <c r="H519" s="60"/>
      <c r="I519" s="60"/>
      <c r="J519" s="60"/>
      <c r="K519" s="60"/>
      <c r="L519" s="61">
        <v>57</v>
      </c>
      <c r="M519" s="64"/>
      <c r="N519" s="61">
        <v>119.2</v>
      </c>
      <c r="O519" s="64"/>
      <c r="P519" s="64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59">
        <f t="shared" si="40"/>
        <v>46050</v>
      </c>
      <c r="AD519" s="57"/>
      <c r="AE519" s="60"/>
      <c r="AF519" s="59">
        <v>46048</v>
      </c>
      <c r="AG519" s="60"/>
      <c r="AH519" s="57"/>
      <c r="AI519" s="34"/>
      <c r="AJ519" s="34"/>
    </row>
    <row r="520" spans="1:36" s="2" customFormat="1" ht="16.5" x14ac:dyDescent="0.3">
      <c r="A520" s="27">
        <v>46038</v>
      </c>
      <c r="B520" s="27">
        <v>46036</v>
      </c>
      <c r="C520" s="21" t="s">
        <v>49</v>
      </c>
      <c r="D520" s="57" t="s">
        <v>1116</v>
      </c>
      <c r="E520" s="70" t="s">
        <v>1159</v>
      </c>
      <c r="F520" s="89"/>
      <c r="G520" s="60"/>
      <c r="H520" s="60"/>
      <c r="I520" s="60"/>
      <c r="J520" s="60"/>
      <c r="K520" s="60"/>
      <c r="L520" s="61">
        <v>199</v>
      </c>
      <c r="M520" s="64"/>
      <c r="N520" s="61">
        <v>59.7</v>
      </c>
      <c r="O520" s="64"/>
      <c r="P520" s="64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59">
        <f t="shared" si="40"/>
        <v>46050</v>
      </c>
      <c r="AD520" s="57"/>
      <c r="AE520" s="60"/>
      <c r="AF520" s="59">
        <v>46048</v>
      </c>
      <c r="AG520" s="60"/>
      <c r="AH520" s="57"/>
      <c r="AI520" s="34"/>
      <c r="AJ520" s="34"/>
    </row>
    <row r="521" spans="1:36" s="2" customFormat="1" ht="16.5" x14ac:dyDescent="0.3">
      <c r="A521" s="27">
        <v>46038</v>
      </c>
      <c r="B521" s="27">
        <v>46036</v>
      </c>
      <c r="C521" s="21" t="s">
        <v>49</v>
      </c>
      <c r="D521" s="57" t="s">
        <v>1117</v>
      </c>
      <c r="E521" s="70" t="s">
        <v>1160</v>
      </c>
      <c r="F521" s="89"/>
      <c r="G521" s="60"/>
      <c r="H521" s="60"/>
      <c r="I521" s="60"/>
      <c r="J521" s="60"/>
      <c r="K521" s="60"/>
      <c r="L521" s="61">
        <v>38.4</v>
      </c>
      <c r="M521" s="64"/>
      <c r="N521" s="61">
        <v>27.6</v>
      </c>
      <c r="O521" s="64"/>
      <c r="P521" s="64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59">
        <f t="shared" si="40"/>
        <v>46050</v>
      </c>
      <c r="AD521" s="57"/>
      <c r="AE521" s="60"/>
      <c r="AF521" s="59">
        <v>46048</v>
      </c>
      <c r="AG521" s="60"/>
      <c r="AH521" s="57"/>
      <c r="AI521" s="34"/>
      <c r="AJ521" s="34"/>
    </row>
    <row r="522" spans="1:36" s="2" customFormat="1" ht="16.5" x14ac:dyDescent="0.3">
      <c r="A522" s="27">
        <v>46038</v>
      </c>
      <c r="B522" s="27">
        <v>46036</v>
      </c>
      <c r="C522" s="21" t="s">
        <v>49</v>
      </c>
      <c r="D522" s="57" t="s">
        <v>1161</v>
      </c>
      <c r="E522" s="70" t="s">
        <v>1162</v>
      </c>
      <c r="F522" s="89"/>
      <c r="G522" s="60"/>
      <c r="H522" s="60"/>
      <c r="I522" s="60"/>
      <c r="J522" s="60"/>
      <c r="K522" s="60"/>
      <c r="L522" s="61">
        <v>37.9</v>
      </c>
      <c r="M522" s="64"/>
      <c r="N522" s="61">
        <v>27.3</v>
      </c>
      <c r="O522" s="64"/>
      <c r="P522" s="64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59">
        <f t="shared" ref="AC522" si="43">B522+14</f>
        <v>46050</v>
      </c>
      <c r="AD522" s="57"/>
      <c r="AE522" s="60"/>
      <c r="AF522" s="59">
        <v>46048</v>
      </c>
      <c r="AG522" s="60"/>
      <c r="AH522" s="57"/>
      <c r="AI522" s="34"/>
      <c r="AJ522" s="34"/>
    </row>
    <row r="523" spans="1:36" s="2" customFormat="1" ht="16.5" x14ac:dyDescent="0.3">
      <c r="A523" s="27">
        <v>46038</v>
      </c>
      <c r="B523" s="27">
        <v>46036</v>
      </c>
      <c r="C523" s="21" t="s">
        <v>49</v>
      </c>
      <c r="D523" s="57" t="s">
        <v>1118</v>
      </c>
      <c r="E523" s="70" t="s">
        <v>1163</v>
      </c>
      <c r="F523" s="89"/>
      <c r="G523" s="60"/>
      <c r="H523" s="60"/>
      <c r="I523" s="60"/>
      <c r="J523" s="60"/>
      <c r="K523" s="60"/>
      <c r="L523" s="61">
        <v>35.6</v>
      </c>
      <c r="M523" s="64"/>
      <c r="N523" s="61">
        <v>155.5</v>
      </c>
      <c r="O523" s="64"/>
      <c r="P523" s="64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59">
        <f t="shared" si="40"/>
        <v>46050</v>
      </c>
      <c r="AD523" s="57"/>
      <c r="AE523" s="60"/>
      <c r="AF523" s="59">
        <v>46048</v>
      </c>
      <c r="AG523" s="60"/>
      <c r="AH523" s="57"/>
      <c r="AI523" s="34"/>
      <c r="AJ523" s="34"/>
    </row>
    <row r="524" spans="1:36" s="2" customFormat="1" ht="16.5" x14ac:dyDescent="0.3">
      <c r="A524" s="27">
        <v>46038</v>
      </c>
      <c r="B524" s="27">
        <v>46036</v>
      </c>
      <c r="C524" s="21" t="s">
        <v>49</v>
      </c>
      <c r="D524" s="57" t="s">
        <v>1119</v>
      </c>
      <c r="E524" s="70" t="s">
        <v>1164</v>
      </c>
      <c r="F524" s="89"/>
      <c r="G524" s="60"/>
      <c r="H524" s="60"/>
      <c r="I524" s="60"/>
      <c r="J524" s="60"/>
      <c r="K524" s="60"/>
      <c r="L524" s="61">
        <v>42.4</v>
      </c>
      <c r="M524" s="64"/>
      <c r="N524" s="61">
        <v>175.8</v>
      </c>
      <c r="O524" s="64"/>
      <c r="P524" s="64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59">
        <f t="shared" si="40"/>
        <v>46050</v>
      </c>
      <c r="AD524" s="57"/>
      <c r="AE524" s="60"/>
      <c r="AF524" s="59">
        <v>46048</v>
      </c>
      <c r="AG524" s="60"/>
      <c r="AH524" s="57"/>
      <c r="AI524" s="34"/>
      <c r="AJ524" s="34"/>
    </row>
    <row r="525" spans="1:36" s="2" customFormat="1" ht="16.5" x14ac:dyDescent="0.3">
      <c r="A525" s="27">
        <v>46038</v>
      </c>
      <c r="B525" s="27">
        <v>46036</v>
      </c>
      <c r="C525" s="21" t="s">
        <v>49</v>
      </c>
      <c r="D525" s="57" t="s">
        <v>1120</v>
      </c>
      <c r="E525" s="70" t="s">
        <v>1165</v>
      </c>
      <c r="F525" s="89"/>
      <c r="G525" s="60"/>
      <c r="H525" s="60"/>
      <c r="I525" s="60"/>
      <c r="J525" s="60"/>
      <c r="K525" s="60"/>
      <c r="L525" s="61">
        <v>62.6</v>
      </c>
      <c r="M525" s="64"/>
      <c r="N525" s="61">
        <v>259.89999999999998</v>
      </c>
      <c r="O525" s="64"/>
      <c r="P525" s="64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59">
        <f t="shared" si="40"/>
        <v>46050</v>
      </c>
      <c r="AD525" s="57"/>
      <c r="AE525" s="60"/>
      <c r="AF525" s="59">
        <v>46048</v>
      </c>
      <c r="AG525" s="60"/>
      <c r="AH525" s="57"/>
      <c r="AI525" s="34"/>
      <c r="AJ525" s="34"/>
    </row>
    <row r="526" spans="1:36" s="2" customFormat="1" ht="16.5" x14ac:dyDescent="0.3">
      <c r="A526" s="27">
        <v>46038</v>
      </c>
      <c r="B526" s="27">
        <v>46036</v>
      </c>
      <c r="C526" s="21" t="s">
        <v>49</v>
      </c>
      <c r="D526" s="57" t="s">
        <v>1121</v>
      </c>
      <c r="E526" s="70" t="s">
        <v>1166</v>
      </c>
      <c r="F526" s="89"/>
      <c r="G526" s="60"/>
      <c r="H526" s="60"/>
      <c r="I526" s="60"/>
      <c r="J526" s="60"/>
      <c r="K526" s="60"/>
      <c r="L526" s="61">
        <v>53.9</v>
      </c>
      <c r="M526" s="64"/>
      <c r="N526" s="61">
        <v>208.6</v>
      </c>
      <c r="O526" s="64"/>
      <c r="P526" s="64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59">
        <f t="shared" si="40"/>
        <v>46050</v>
      </c>
      <c r="AD526" s="57"/>
      <c r="AE526" s="60"/>
      <c r="AF526" s="59">
        <v>46048</v>
      </c>
      <c r="AG526" s="60"/>
      <c r="AH526" s="57"/>
      <c r="AI526" s="34"/>
      <c r="AJ526" s="34"/>
    </row>
    <row r="527" spans="1:36" s="2" customFormat="1" ht="16.5" x14ac:dyDescent="0.3">
      <c r="A527" s="27">
        <v>46038</v>
      </c>
      <c r="B527" s="27">
        <v>46036</v>
      </c>
      <c r="C527" s="21" t="s">
        <v>49</v>
      </c>
      <c r="D527" s="57" t="s">
        <v>1122</v>
      </c>
      <c r="E527" s="70" t="s">
        <v>1167</v>
      </c>
      <c r="F527" s="89"/>
      <c r="G527" s="60"/>
      <c r="H527" s="60"/>
      <c r="I527" s="60"/>
      <c r="J527" s="60"/>
      <c r="K527" s="60"/>
      <c r="L527" s="61">
        <v>30.3</v>
      </c>
      <c r="M527" s="64"/>
      <c r="N527" s="61">
        <v>36.9</v>
      </c>
      <c r="O527" s="64"/>
      <c r="P527" s="64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59">
        <f t="shared" si="40"/>
        <v>46050</v>
      </c>
      <c r="AD527" s="57"/>
      <c r="AE527" s="60"/>
      <c r="AF527" s="59">
        <v>46048</v>
      </c>
      <c r="AG527" s="60"/>
      <c r="AH527" s="57"/>
      <c r="AI527" s="34"/>
      <c r="AJ527" s="34"/>
    </row>
    <row r="528" spans="1:36" s="2" customFormat="1" ht="16.5" x14ac:dyDescent="0.3">
      <c r="A528" s="27">
        <v>46038</v>
      </c>
      <c r="B528" s="27">
        <v>46036</v>
      </c>
      <c r="C528" s="21" t="s">
        <v>49</v>
      </c>
      <c r="D528" s="57" t="s">
        <v>1123</v>
      </c>
      <c r="E528" s="70" t="s">
        <v>1168</v>
      </c>
      <c r="F528" s="89"/>
      <c r="G528" s="60"/>
      <c r="H528" s="60"/>
      <c r="I528" s="60"/>
      <c r="J528" s="60"/>
      <c r="K528" s="60"/>
      <c r="L528" s="61">
        <v>21.6</v>
      </c>
      <c r="M528" s="64"/>
      <c r="N528" s="61">
        <v>34.299999999999997</v>
      </c>
      <c r="O528" s="64"/>
      <c r="P528" s="64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59">
        <f t="shared" si="40"/>
        <v>46050</v>
      </c>
      <c r="AD528" s="57"/>
      <c r="AE528" s="60"/>
      <c r="AF528" s="59">
        <v>46048</v>
      </c>
      <c r="AG528" s="60"/>
      <c r="AH528" s="57"/>
      <c r="AI528" s="34"/>
      <c r="AJ528" s="34"/>
    </row>
    <row r="529" spans="1:36" s="2" customFormat="1" ht="16.5" x14ac:dyDescent="0.3">
      <c r="A529" s="27">
        <v>46038</v>
      </c>
      <c r="B529" s="27">
        <v>46036</v>
      </c>
      <c r="C529" s="21" t="s">
        <v>49</v>
      </c>
      <c r="D529" s="57" t="s">
        <v>1124</v>
      </c>
      <c r="E529" s="70" t="s">
        <v>1169</v>
      </c>
      <c r="F529" s="89"/>
      <c r="G529" s="60"/>
      <c r="H529" s="60"/>
      <c r="I529" s="60"/>
      <c r="J529" s="60"/>
      <c r="K529" s="60"/>
      <c r="L529" s="61">
        <v>19.7</v>
      </c>
      <c r="M529" s="64"/>
      <c r="N529" s="61">
        <v>22.8</v>
      </c>
      <c r="O529" s="64"/>
      <c r="P529" s="64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59">
        <f t="shared" si="40"/>
        <v>46050</v>
      </c>
      <c r="AD529" s="57"/>
      <c r="AE529" s="60"/>
      <c r="AF529" s="59">
        <v>46048</v>
      </c>
      <c r="AG529" s="60"/>
      <c r="AH529" s="57"/>
      <c r="AI529" s="34"/>
      <c r="AJ529" s="34"/>
    </row>
    <row r="530" spans="1:36" s="2" customFormat="1" ht="16.5" x14ac:dyDescent="0.3">
      <c r="A530" s="27">
        <v>46038</v>
      </c>
      <c r="B530" s="27">
        <v>46036</v>
      </c>
      <c r="C530" s="21" t="s">
        <v>49</v>
      </c>
      <c r="D530" s="57" t="s">
        <v>1125</v>
      </c>
      <c r="E530" s="70" t="s">
        <v>1170</v>
      </c>
      <c r="F530" s="89"/>
      <c r="G530" s="60"/>
      <c r="H530" s="60"/>
      <c r="I530" s="60"/>
      <c r="J530" s="60"/>
      <c r="K530" s="60"/>
      <c r="L530" s="61">
        <v>19.899999999999999</v>
      </c>
      <c r="M530" s="64"/>
      <c r="N530" s="61">
        <v>19.100000000000001</v>
      </c>
      <c r="O530" s="64"/>
      <c r="P530" s="64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59">
        <f t="shared" si="40"/>
        <v>46050</v>
      </c>
      <c r="AD530" s="57"/>
      <c r="AE530" s="60"/>
      <c r="AF530" s="59">
        <v>46048</v>
      </c>
      <c r="AG530" s="60"/>
      <c r="AH530" s="57"/>
      <c r="AI530" s="34"/>
      <c r="AJ530" s="34"/>
    </row>
    <row r="531" spans="1:36" s="2" customFormat="1" ht="16.5" x14ac:dyDescent="0.3">
      <c r="A531" s="27">
        <v>46038</v>
      </c>
      <c r="B531" s="27">
        <v>46036</v>
      </c>
      <c r="C531" s="21" t="s">
        <v>49</v>
      </c>
      <c r="D531" s="57" t="s">
        <v>1126</v>
      </c>
      <c r="E531" s="86" t="s">
        <v>1174</v>
      </c>
      <c r="F531" s="89"/>
      <c r="G531" s="60"/>
      <c r="H531" s="60"/>
      <c r="I531" s="60"/>
      <c r="J531" s="60"/>
      <c r="K531" s="60"/>
      <c r="L531" s="61">
        <v>14.7</v>
      </c>
      <c r="M531" s="64"/>
      <c r="N531" s="61">
        <v>19.8</v>
      </c>
      <c r="O531" s="64"/>
      <c r="P531" s="64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59">
        <f t="shared" si="40"/>
        <v>46050</v>
      </c>
      <c r="AD531" s="57"/>
      <c r="AE531" s="60"/>
      <c r="AF531" s="59">
        <v>46048</v>
      </c>
      <c r="AG531" s="60"/>
      <c r="AH531" s="68" t="s">
        <v>1176</v>
      </c>
      <c r="AI531" s="34"/>
      <c r="AJ531" s="34"/>
    </row>
    <row r="532" spans="1:36" s="2" customFormat="1" ht="16.5" x14ac:dyDescent="0.3">
      <c r="A532" s="27">
        <v>46038</v>
      </c>
      <c r="B532" s="27">
        <v>46036</v>
      </c>
      <c r="C532" s="21" t="s">
        <v>49</v>
      </c>
      <c r="D532" s="57" t="s">
        <v>1127</v>
      </c>
      <c r="E532" s="70" t="s">
        <v>1171</v>
      </c>
      <c r="F532" s="57" t="s">
        <v>140</v>
      </c>
      <c r="G532" s="57" t="s">
        <v>140</v>
      </c>
      <c r="H532" s="57" t="s">
        <v>140</v>
      </c>
      <c r="I532" s="57" t="s">
        <v>140</v>
      </c>
      <c r="J532" s="57" t="s">
        <v>140</v>
      </c>
      <c r="K532" s="60"/>
      <c r="L532" s="64"/>
      <c r="M532" s="63"/>
      <c r="N532" s="64"/>
      <c r="O532" s="64"/>
      <c r="P532" s="64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59">
        <f t="shared" si="40"/>
        <v>46050</v>
      </c>
      <c r="AD532" s="57"/>
      <c r="AE532" s="59">
        <v>46043</v>
      </c>
      <c r="AF532" s="60"/>
      <c r="AG532" s="60"/>
      <c r="AH532" s="57"/>
      <c r="AI532" s="34"/>
      <c r="AJ532" s="34"/>
    </row>
    <row r="533" spans="1:36" s="2" customFormat="1" ht="16.5" x14ac:dyDescent="0.3">
      <c r="A533" s="27">
        <v>46038</v>
      </c>
      <c r="B533" s="27">
        <v>46036</v>
      </c>
      <c r="C533" s="21" t="s">
        <v>49</v>
      </c>
      <c r="D533" s="57" t="s">
        <v>1128</v>
      </c>
      <c r="E533" s="70" t="s">
        <v>1172</v>
      </c>
      <c r="F533" s="57" t="s">
        <v>140</v>
      </c>
      <c r="G533" s="57" t="s">
        <v>140</v>
      </c>
      <c r="H533" s="57" t="s">
        <v>140</v>
      </c>
      <c r="I533" s="57" t="s">
        <v>140</v>
      </c>
      <c r="J533" s="57" t="s">
        <v>140</v>
      </c>
      <c r="K533" s="60"/>
      <c r="L533" s="64"/>
      <c r="M533" s="63"/>
      <c r="N533" s="64"/>
      <c r="O533" s="64"/>
      <c r="P533" s="64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59">
        <f t="shared" ref="AC533:AC539" si="44">B533+14</f>
        <v>46050</v>
      </c>
      <c r="AD533" s="57"/>
      <c r="AE533" s="59">
        <v>46043</v>
      </c>
      <c r="AF533" s="60"/>
      <c r="AG533" s="60"/>
      <c r="AH533" s="57"/>
      <c r="AI533" s="34"/>
      <c r="AJ533" s="34"/>
    </row>
    <row r="534" spans="1:36" s="2" customFormat="1" ht="16.5" x14ac:dyDescent="0.3">
      <c r="A534" s="27">
        <v>46038</v>
      </c>
      <c r="B534" s="27">
        <v>46036</v>
      </c>
      <c r="C534" s="21" t="s">
        <v>49</v>
      </c>
      <c r="D534" s="57" t="s">
        <v>1129</v>
      </c>
      <c r="E534" s="70" t="s">
        <v>1173</v>
      </c>
      <c r="F534" s="57" t="s">
        <v>140</v>
      </c>
      <c r="G534" s="57" t="s">
        <v>140</v>
      </c>
      <c r="H534" s="57" t="s">
        <v>140</v>
      </c>
      <c r="I534" s="57" t="s">
        <v>140</v>
      </c>
      <c r="J534" s="57" t="s">
        <v>140</v>
      </c>
      <c r="K534" s="60"/>
      <c r="L534" s="64"/>
      <c r="M534" s="63"/>
      <c r="N534" s="64"/>
      <c r="O534" s="64"/>
      <c r="P534" s="64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59">
        <f t="shared" si="44"/>
        <v>46050</v>
      </c>
      <c r="AD534" s="57"/>
      <c r="AE534" s="59">
        <v>46043</v>
      </c>
      <c r="AF534" s="60"/>
      <c r="AG534" s="60"/>
      <c r="AH534" s="57"/>
      <c r="AI534" s="34"/>
      <c r="AJ534" s="34"/>
    </row>
    <row r="535" spans="1:36" s="2" customFormat="1" ht="16.5" x14ac:dyDescent="0.3">
      <c r="A535" s="27">
        <v>46038</v>
      </c>
      <c r="B535" s="27">
        <v>46036</v>
      </c>
      <c r="C535" s="21" t="s">
        <v>49</v>
      </c>
      <c r="D535" s="57" t="s">
        <v>1130</v>
      </c>
      <c r="E535" s="70" t="s">
        <v>1251</v>
      </c>
      <c r="F535" s="57" t="s">
        <v>140</v>
      </c>
      <c r="G535" s="57" t="s">
        <v>140</v>
      </c>
      <c r="H535" s="57" t="s">
        <v>140</v>
      </c>
      <c r="I535" s="57" t="s">
        <v>140</v>
      </c>
      <c r="J535" s="57" t="s">
        <v>140</v>
      </c>
      <c r="K535" s="60"/>
      <c r="L535" s="64"/>
      <c r="M535" s="63"/>
      <c r="N535" s="64"/>
      <c r="O535" s="64"/>
      <c r="P535" s="64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59">
        <f t="shared" si="44"/>
        <v>46050</v>
      </c>
      <c r="AD535" s="57"/>
      <c r="AE535" s="59">
        <v>46043</v>
      </c>
      <c r="AF535" s="60"/>
      <c r="AG535" s="60"/>
      <c r="AH535" s="57"/>
      <c r="AI535" s="34"/>
      <c r="AJ535" s="34"/>
    </row>
    <row r="536" spans="1:36" s="2" customFormat="1" ht="16.5" x14ac:dyDescent="0.3">
      <c r="A536" s="27">
        <v>46038</v>
      </c>
      <c r="B536" s="27">
        <v>46036</v>
      </c>
      <c r="C536" s="21" t="s">
        <v>49</v>
      </c>
      <c r="D536" s="57" t="s">
        <v>1177</v>
      </c>
      <c r="E536" s="70" t="s">
        <v>1178</v>
      </c>
      <c r="F536" s="57" t="s">
        <v>140</v>
      </c>
      <c r="G536" s="57" t="s">
        <v>140</v>
      </c>
      <c r="H536" s="57" t="s">
        <v>140</v>
      </c>
      <c r="I536" s="57" t="s">
        <v>140</v>
      </c>
      <c r="J536" s="57" t="s">
        <v>140</v>
      </c>
      <c r="K536" s="60"/>
      <c r="L536" s="64"/>
      <c r="M536" s="63"/>
      <c r="N536" s="64"/>
      <c r="O536" s="64"/>
      <c r="P536" s="64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59">
        <f t="shared" si="44"/>
        <v>46050</v>
      </c>
      <c r="AD536" s="57"/>
      <c r="AE536" s="59">
        <v>46043</v>
      </c>
      <c r="AF536" s="60"/>
      <c r="AG536" s="60"/>
      <c r="AH536" s="57"/>
      <c r="AI536" s="34"/>
      <c r="AJ536" s="34"/>
    </row>
    <row r="537" spans="1:36" s="2" customFormat="1" ht="16.5" x14ac:dyDescent="0.3">
      <c r="A537" s="27">
        <v>46038</v>
      </c>
      <c r="B537" s="27">
        <v>46036</v>
      </c>
      <c r="C537" s="21" t="s">
        <v>49</v>
      </c>
      <c r="D537" s="57" t="s">
        <v>1179</v>
      </c>
      <c r="E537" s="70" t="s">
        <v>1181</v>
      </c>
      <c r="F537" s="57" t="s">
        <v>140</v>
      </c>
      <c r="G537" s="57" t="s">
        <v>140</v>
      </c>
      <c r="H537" s="57" t="s">
        <v>140</v>
      </c>
      <c r="I537" s="57" t="s">
        <v>140</v>
      </c>
      <c r="J537" s="57" t="s">
        <v>140</v>
      </c>
      <c r="K537" s="60"/>
      <c r="L537" s="64"/>
      <c r="M537" s="63"/>
      <c r="N537" s="64"/>
      <c r="O537" s="64"/>
      <c r="P537" s="64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59">
        <f t="shared" si="44"/>
        <v>46050</v>
      </c>
      <c r="AD537" s="57"/>
      <c r="AE537" s="59">
        <v>46043</v>
      </c>
      <c r="AF537" s="60"/>
      <c r="AG537" s="60"/>
      <c r="AH537" s="57"/>
      <c r="AI537" s="34"/>
      <c r="AJ537" s="34"/>
    </row>
    <row r="538" spans="1:36" s="2" customFormat="1" ht="16.5" x14ac:dyDescent="0.3">
      <c r="A538" s="27">
        <v>46038</v>
      </c>
      <c r="B538" s="27">
        <v>46036</v>
      </c>
      <c r="C538" s="21" t="s">
        <v>49</v>
      </c>
      <c r="D538" s="57" t="s">
        <v>1180</v>
      </c>
      <c r="E538" s="70" t="s">
        <v>1182</v>
      </c>
      <c r="F538" s="57" t="s">
        <v>140</v>
      </c>
      <c r="G538" s="57" t="s">
        <v>140</v>
      </c>
      <c r="H538" s="57" t="s">
        <v>140</v>
      </c>
      <c r="I538" s="57" t="s">
        <v>140</v>
      </c>
      <c r="J538" s="57" t="s">
        <v>140</v>
      </c>
      <c r="K538" s="60"/>
      <c r="L538" s="64"/>
      <c r="M538" s="63"/>
      <c r="N538" s="64"/>
      <c r="O538" s="64"/>
      <c r="P538" s="64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59">
        <f t="shared" si="44"/>
        <v>46050</v>
      </c>
      <c r="AD538" s="57"/>
      <c r="AE538" s="59">
        <v>46043</v>
      </c>
      <c r="AF538" s="60"/>
      <c r="AG538" s="60"/>
      <c r="AH538" s="57"/>
      <c r="AI538" s="34"/>
      <c r="AJ538" s="34"/>
    </row>
    <row r="539" spans="1:36" s="2" customFormat="1" ht="16.5" x14ac:dyDescent="0.3">
      <c r="A539" s="27">
        <v>46057</v>
      </c>
      <c r="B539" s="27">
        <v>46056</v>
      </c>
      <c r="C539" s="21" t="s">
        <v>49</v>
      </c>
      <c r="D539" s="57" t="s">
        <v>1184</v>
      </c>
      <c r="E539" s="70" t="s">
        <v>1185</v>
      </c>
      <c r="F539" s="89"/>
      <c r="G539" s="60"/>
      <c r="H539" s="60"/>
      <c r="I539" s="60"/>
      <c r="J539" s="60"/>
      <c r="K539" s="60"/>
      <c r="L539" s="61">
        <v>34.200000000000003</v>
      </c>
      <c r="M539" s="64"/>
      <c r="N539" s="61">
        <v>44</v>
      </c>
      <c r="O539" s="64"/>
      <c r="P539" s="64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59">
        <f t="shared" si="44"/>
        <v>46070</v>
      </c>
      <c r="AD539" s="57"/>
      <c r="AE539" s="60"/>
      <c r="AF539" s="59">
        <v>46062</v>
      </c>
      <c r="AG539" s="60"/>
      <c r="AH539" s="57"/>
      <c r="AI539" s="34"/>
      <c r="AJ539" s="34"/>
    </row>
    <row r="540" spans="1:36" s="2" customFormat="1" ht="16.5" x14ac:dyDescent="0.3">
      <c r="A540" s="27">
        <v>46057</v>
      </c>
      <c r="B540" s="27">
        <v>46056</v>
      </c>
      <c r="C540" s="21" t="s">
        <v>49</v>
      </c>
      <c r="D540" s="57" t="s">
        <v>1186</v>
      </c>
      <c r="E540" s="70" t="s">
        <v>1213</v>
      </c>
      <c r="F540" s="89"/>
      <c r="G540" s="60"/>
      <c r="H540" s="60"/>
      <c r="I540" s="60"/>
      <c r="J540" s="60"/>
      <c r="K540" s="60"/>
      <c r="L540" s="61">
        <v>155</v>
      </c>
      <c r="M540" s="64"/>
      <c r="N540" s="61">
        <v>899.1</v>
      </c>
      <c r="O540" s="64"/>
      <c r="P540" s="64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59">
        <f t="shared" ref="AC540:AC568" si="45">B540+14</f>
        <v>46070</v>
      </c>
      <c r="AD540" s="57"/>
      <c r="AE540" s="60"/>
      <c r="AF540" s="59">
        <v>46062</v>
      </c>
      <c r="AG540" s="60"/>
      <c r="AH540" s="57"/>
      <c r="AI540" s="34"/>
      <c r="AJ540" s="34"/>
    </row>
    <row r="541" spans="1:36" s="2" customFormat="1" ht="16.5" x14ac:dyDescent="0.3">
      <c r="A541" s="27">
        <v>46057</v>
      </c>
      <c r="B541" s="27">
        <v>46056</v>
      </c>
      <c r="C541" s="21" t="s">
        <v>49</v>
      </c>
      <c r="D541" s="57" t="s">
        <v>1187</v>
      </c>
      <c r="E541" s="70" t="s">
        <v>1214</v>
      </c>
      <c r="F541" s="89"/>
      <c r="G541" s="60"/>
      <c r="H541" s="60"/>
      <c r="I541" s="60"/>
      <c r="J541" s="60"/>
      <c r="K541" s="60"/>
      <c r="L541" s="61">
        <v>59.5</v>
      </c>
      <c r="M541" s="64"/>
      <c r="N541" s="61">
        <v>268.60000000000002</v>
      </c>
      <c r="O541" s="64"/>
      <c r="P541" s="64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59">
        <f t="shared" si="45"/>
        <v>46070</v>
      </c>
      <c r="AD541" s="57"/>
      <c r="AE541" s="60"/>
      <c r="AF541" s="59">
        <v>46062</v>
      </c>
      <c r="AG541" s="60"/>
      <c r="AH541" s="57"/>
      <c r="AI541" s="34"/>
      <c r="AJ541" s="34"/>
    </row>
    <row r="542" spans="1:36" s="2" customFormat="1" ht="16.5" x14ac:dyDescent="0.3">
      <c r="A542" s="27">
        <v>46057</v>
      </c>
      <c r="B542" s="27">
        <v>46056</v>
      </c>
      <c r="C542" s="21" t="s">
        <v>49</v>
      </c>
      <c r="D542" s="57" t="s">
        <v>1188</v>
      </c>
      <c r="E542" s="70" t="s">
        <v>1215</v>
      </c>
      <c r="F542" s="89"/>
      <c r="G542" s="60"/>
      <c r="H542" s="60"/>
      <c r="I542" s="60"/>
      <c r="J542" s="60"/>
      <c r="K542" s="60"/>
      <c r="L542" s="61">
        <v>58.1</v>
      </c>
      <c r="M542" s="64"/>
      <c r="N542" s="61">
        <v>541.5</v>
      </c>
      <c r="O542" s="64"/>
      <c r="P542" s="64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59">
        <f t="shared" si="45"/>
        <v>46070</v>
      </c>
      <c r="AD542" s="57"/>
      <c r="AE542" s="60"/>
      <c r="AF542" s="59">
        <v>46062</v>
      </c>
      <c r="AG542" s="60"/>
      <c r="AH542" s="57"/>
      <c r="AI542" s="34"/>
      <c r="AJ542" s="34"/>
    </row>
    <row r="543" spans="1:36" s="2" customFormat="1" ht="16.5" x14ac:dyDescent="0.3">
      <c r="A543" s="27">
        <v>46057</v>
      </c>
      <c r="B543" s="27">
        <v>46056</v>
      </c>
      <c r="C543" s="21" t="s">
        <v>49</v>
      </c>
      <c r="D543" s="57" t="s">
        <v>1189</v>
      </c>
      <c r="E543" s="70" t="s">
        <v>1216</v>
      </c>
      <c r="F543" s="89"/>
      <c r="G543" s="60"/>
      <c r="H543" s="60"/>
      <c r="I543" s="60"/>
      <c r="J543" s="60"/>
      <c r="K543" s="60"/>
      <c r="L543" s="61">
        <v>47.9</v>
      </c>
      <c r="M543" s="64"/>
      <c r="N543" s="61">
        <v>270.39999999999998</v>
      </c>
      <c r="O543" s="64"/>
      <c r="P543" s="64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59">
        <f t="shared" si="45"/>
        <v>46070</v>
      </c>
      <c r="AD543" s="57"/>
      <c r="AE543" s="60"/>
      <c r="AF543" s="59">
        <v>46062</v>
      </c>
      <c r="AG543" s="60"/>
      <c r="AH543" s="57"/>
      <c r="AI543" s="34"/>
      <c r="AJ543" s="34"/>
    </row>
    <row r="544" spans="1:36" s="2" customFormat="1" ht="16.5" x14ac:dyDescent="0.3">
      <c r="A544" s="27">
        <v>46057</v>
      </c>
      <c r="B544" s="27">
        <v>46056</v>
      </c>
      <c r="C544" s="21" t="s">
        <v>49</v>
      </c>
      <c r="D544" s="57" t="s">
        <v>1190</v>
      </c>
      <c r="E544" s="70" t="s">
        <v>1217</v>
      </c>
      <c r="F544" s="89"/>
      <c r="G544" s="60"/>
      <c r="H544" s="60"/>
      <c r="I544" s="60"/>
      <c r="J544" s="60"/>
      <c r="K544" s="60"/>
      <c r="L544" s="61">
        <v>31.1</v>
      </c>
      <c r="M544" s="64"/>
      <c r="N544" s="61">
        <v>185</v>
      </c>
      <c r="O544" s="64"/>
      <c r="P544" s="64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59">
        <f t="shared" si="45"/>
        <v>46070</v>
      </c>
      <c r="AD544" s="57"/>
      <c r="AE544" s="60"/>
      <c r="AF544" s="59">
        <v>46062</v>
      </c>
      <c r="AG544" s="60"/>
      <c r="AH544" s="57"/>
      <c r="AI544" s="34"/>
      <c r="AJ544" s="34"/>
    </row>
    <row r="545" spans="1:36" s="2" customFormat="1" ht="16.5" x14ac:dyDescent="0.3">
      <c r="A545" s="27">
        <v>46057</v>
      </c>
      <c r="B545" s="27">
        <v>46056</v>
      </c>
      <c r="C545" s="21" t="s">
        <v>49</v>
      </c>
      <c r="D545" s="57" t="s">
        <v>1191</v>
      </c>
      <c r="E545" s="70" t="s">
        <v>1218</v>
      </c>
      <c r="F545" s="89"/>
      <c r="G545" s="60"/>
      <c r="H545" s="60"/>
      <c r="I545" s="60"/>
      <c r="J545" s="60"/>
      <c r="K545" s="60"/>
      <c r="L545" s="61">
        <v>16.3</v>
      </c>
      <c r="M545" s="64"/>
      <c r="N545" s="61">
        <v>14.3</v>
      </c>
      <c r="O545" s="64"/>
      <c r="P545" s="64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59">
        <f t="shared" si="45"/>
        <v>46070</v>
      </c>
      <c r="AD545" s="57"/>
      <c r="AE545" s="60"/>
      <c r="AF545" s="59">
        <v>46062</v>
      </c>
      <c r="AG545" s="60"/>
      <c r="AH545" s="57"/>
      <c r="AI545" s="34"/>
      <c r="AJ545" s="34"/>
    </row>
    <row r="546" spans="1:36" s="2" customFormat="1" ht="16.5" x14ac:dyDescent="0.3">
      <c r="A546" s="27">
        <v>46057</v>
      </c>
      <c r="B546" s="27">
        <v>46056</v>
      </c>
      <c r="C546" s="21" t="s">
        <v>49</v>
      </c>
      <c r="D546" s="57" t="s">
        <v>1192</v>
      </c>
      <c r="E546" s="70" t="s">
        <v>1219</v>
      </c>
      <c r="F546" s="89"/>
      <c r="G546" s="60"/>
      <c r="H546" s="60"/>
      <c r="I546" s="60"/>
      <c r="J546" s="60"/>
      <c r="K546" s="60"/>
      <c r="L546" s="61">
        <v>19.899999999999999</v>
      </c>
      <c r="M546" s="64"/>
      <c r="N546" s="61">
        <v>28.4</v>
      </c>
      <c r="O546" s="64"/>
      <c r="P546" s="64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59">
        <f t="shared" si="45"/>
        <v>46070</v>
      </c>
      <c r="AD546" s="57"/>
      <c r="AE546" s="60"/>
      <c r="AF546" s="59">
        <v>46062</v>
      </c>
      <c r="AG546" s="60"/>
      <c r="AH546" s="57"/>
      <c r="AI546" s="34"/>
      <c r="AJ546" s="34"/>
    </row>
    <row r="547" spans="1:36" s="2" customFormat="1" ht="16.5" x14ac:dyDescent="0.3">
      <c r="A547" s="27">
        <v>46057</v>
      </c>
      <c r="B547" s="27">
        <v>46056</v>
      </c>
      <c r="C547" s="21" t="s">
        <v>49</v>
      </c>
      <c r="D547" s="57" t="s">
        <v>1193</v>
      </c>
      <c r="E547" s="70" t="s">
        <v>1220</v>
      </c>
      <c r="F547" s="89"/>
      <c r="G547" s="60"/>
      <c r="H547" s="60"/>
      <c r="I547" s="60"/>
      <c r="J547" s="60"/>
      <c r="K547" s="60"/>
      <c r="L547" s="61">
        <v>25</v>
      </c>
      <c r="M547" s="64"/>
      <c r="N547" s="61">
        <v>41.9</v>
      </c>
      <c r="O547" s="64"/>
      <c r="P547" s="64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59">
        <f t="shared" si="45"/>
        <v>46070</v>
      </c>
      <c r="AD547" s="57"/>
      <c r="AE547" s="60"/>
      <c r="AF547" s="59">
        <v>46062</v>
      </c>
      <c r="AG547" s="60"/>
      <c r="AH547" s="57"/>
      <c r="AI547" s="34"/>
      <c r="AJ547" s="34"/>
    </row>
    <row r="548" spans="1:36" s="2" customFormat="1" ht="16.5" x14ac:dyDescent="0.3">
      <c r="A548" s="27">
        <v>46057</v>
      </c>
      <c r="B548" s="27">
        <v>46056</v>
      </c>
      <c r="C548" s="21" t="s">
        <v>49</v>
      </c>
      <c r="D548" s="57" t="s">
        <v>1194</v>
      </c>
      <c r="E548" s="70" t="s">
        <v>1221</v>
      </c>
      <c r="F548" s="89"/>
      <c r="G548" s="60"/>
      <c r="H548" s="60"/>
      <c r="I548" s="60"/>
      <c r="J548" s="60"/>
      <c r="K548" s="60"/>
      <c r="L548" s="61">
        <v>29.5</v>
      </c>
      <c r="M548" s="64"/>
      <c r="N548" s="61">
        <v>84.3</v>
      </c>
      <c r="O548" s="64"/>
      <c r="P548" s="64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59">
        <f t="shared" si="45"/>
        <v>46070</v>
      </c>
      <c r="AD548" s="57"/>
      <c r="AE548" s="60"/>
      <c r="AF548" s="59">
        <v>46062</v>
      </c>
      <c r="AG548" s="60"/>
      <c r="AH548" s="57"/>
      <c r="AI548" s="34"/>
      <c r="AJ548" s="34"/>
    </row>
    <row r="549" spans="1:36" s="2" customFormat="1" ht="16.5" x14ac:dyDescent="0.3">
      <c r="A549" s="27">
        <v>46057</v>
      </c>
      <c r="B549" s="27">
        <v>46056</v>
      </c>
      <c r="C549" s="21" t="s">
        <v>49</v>
      </c>
      <c r="D549" s="57" t="s">
        <v>1195</v>
      </c>
      <c r="E549" s="70" t="s">
        <v>1222</v>
      </c>
      <c r="F549" s="89"/>
      <c r="G549" s="60"/>
      <c r="H549" s="60"/>
      <c r="I549" s="60"/>
      <c r="J549" s="60"/>
      <c r="K549" s="60"/>
      <c r="L549" s="61">
        <v>100.8</v>
      </c>
      <c r="M549" s="64"/>
      <c r="N549" s="61">
        <v>621.79999999999995</v>
      </c>
      <c r="O549" s="64"/>
      <c r="P549" s="64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59">
        <f t="shared" si="45"/>
        <v>46070</v>
      </c>
      <c r="AD549" s="57"/>
      <c r="AE549" s="60"/>
      <c r="AF549" s="59">
        <v>46062</v>
      </c>
      <c r="AG549" s="60"/>
      <c r="AH549" s="57"/>
      <c r="AI549" s="34"/>
      <c r="AJ549" s="34"/>
    </row>
    <row r="550" spans="1:36" s="2" customFormat="1" ht="16.5" x14ac:dyDescent="0.3">
      <c r="A550" s="27">
        <v>46057</v>
      </c>
      <c r="B550" s="27">
        <v>46056</v>
      </c>
      <c r="C550" s="21" t="s">
        <v>49</v>
      </c>
      <c r="D550" s="57" t="s">
        <v>1223</v>
      </c>
      <c r="E550" s="70" t="s">
        <v>1224</v>
      </c>
      <c r="F550" s="89"/>
      <c r="G550" s="60"/>
      <c r="H550" s="60"/>
      <c r="I550" s="60"/>
      <c r="J550" s="60"/>
      <c r="K550" s="60"/>
      <c r="L550" s="61">
        <v>101.8</v>
      </c>
      <c r="M550" s="64"/>
      <c r="N550" s="61">
        <v>624.20000000000005</v>
      </c>
      <c r="O550" s="64"/>
      <c r="P550" s="64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59">
        <f t="shared" ref="AC550" si="46">B550+14</f>
        <v>46070</v>
      </c>
      <c r="AD550" s="57"/>
      <c r="AE550" s="60"/>
      <c r="AF550" s="59">
        <v>46062</v>
      </c>
      <c r="AG550" s="60"/>
      <c r="AH550" s="57"/>
      <c r="AI550" s="34"/>
      <c r="AJ550" s="34"/>
    </row>
    <row r="551" spans="1:36" s="2" customFormat="1" ht="16.5" x14ac:dyDescent="0.3">
      <c r="A551" s="27">
        <v>46057</v>
      </c>
      <c r="B551" s="27">
        <v>46056</v>
      </c>
      <c r="C551" s="21" t="s">
        <v>49</v>
      </c>
      <c r="D551" s="57" t="s">
        <v>1196</v>
      </c>
      <c r="E551" s="70" t="s">
        <v>1225</v>
      </c>
      <c r="F551" s="89"/>
      <c r="G551" s="60"/>
      <c r="H551" s="60"/>
      <c r="I551" s="60"/>
      <c r="J551" s="60"/>
      <c r="K551" s="60"/>
      <c r="L551" s="61">
        <v>25.1</v>
      </c>
      <c r="M551" s="64"/>
      <c r="N551" s="61">
        <v>38.9</v>
      </c>
      <c r="O551" s="64"/>
      <c r="P551" s="64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59">
        <f t="shared" si="45"/>
        <v>46070</v>
      </c>
      <c r="AD551" s="57"/>
      <c r="AE551" s="60"/>
      <c r="AF551" s="59">
        <v>46062</v>
      </c>
      <c r="AG551" s="60"/>
      <c r="AH551" s="57"/>
      <c r="AI551" s="34"/>
      <c r="AJ551" s="34"/>
    </row>
    <row r="552" spans="1:36" s="2" customFormat="1" ht="16.5" x14ac:dyDescent="0.3">
      <c r="A552" s="27">
        <v>46057</v>
      </c>
      <c r="B552" s="27">
        <v>46056</v>
      </c>
      <c r="C552" s="21" t="s">
        <v>49</v>
      </c>
      <c r="D552" s="57" t="s">
        <v>1197</v>
      </c>
      <c r="E552" s="70" t="s">
        <v>1226</v>
      </c>
      <c r="F552" s="89"/>
      <c r="G552" s="60"/>
      <c r="H552" s="60"/>
      <c r="I552" s="60"/>
      <c r="J552" s="60"/>
      <c r="K552" s="60"/>
      <c r="L552" s="61">
        <v>23.2</v>
      </c>
      <c r="M552" s="64"/>
      <c r="N552" s="61">
        <v>28.3</v>
      </c>
      <c r="O552" s="64"/>
      <c r="P552" s="64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59">
        <f t="shared" si="45"/>
        <v>46070</v>
      </c>
      <c r="AD552" s="57"/>
      <c r="AE552" s="60"/>
      <c r="AF552" s="59">
        <v>46062</v>
      </c>
      <c r="AG552" s="60"/>
      <c r="AH552" s="57"/>
      <c r="AI552" s="34"/>
      <c r="AJ552" s="34"/>
    </row>
    <row r="553" spans="1:36" s="2" customFormat="1" ht="16.5" x14ac:dyDescent="0.3">
      <c r="A553" s="27">
        <v>46057</v>
      </c>
      <c r="B553" s="27">
        <v>46056</v>
      </c>
      <c r="C553" s="21" t="s">
        <v>49</v>
      </c>
      <c r="D553" s="57" t="s">
        <v>1198</v>
      </c>
      <c r="E553" s="70" t="s">
        <v>1227</v>
      </c>
      <c r="F553" s="89"/>
      <c r="G553" s="60"/>
      <c r="H553" s="60"/>
      <c r="I553" s="60"/>
      <c r="J553" s="60"/>
      <c r="K553" s="60"/>
      <c r="L553" s="61">
        <v>81.099999999999994</v>
      </c>
      <c r="M553" s="64"/>
      <c r="N553" s="61">
        <v>71.900000000000006</v>
      </c>
      <c r="O553" s="64"/>
      <c r="P553" s="64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59">
        <f t="shared" si="45"/>
        <v>46070</v>
      </c>
      <c r="AD553" s="57"/>
      <c r="AE553" s="60"/>
      <c r="AF553" s="59">
        <v>46062</v>
      </c>
      <c r="AG553" s="60"/>
      <c r="AH553" s="57"/>
      <c r="AI553" s="34"/>
      <c r="AJ553" s="34"/>
    </row>
    <row r="554" spans="1:36" s="2" customFormat="1" ht="16.5" x14ac:dyDescent="0.3">
      <c r="A554" s="27">
        <v>46057</v>
      </c>
      <c r="B554" s="27">
        <v>46056</v>
      </c>
      <c r="C554" s="21" t="s">
        <v>49</v>
      </c>
      <c r="D554" s="57" t="s">
        <v>1199</v>
      </c>
      <c r="E554" s="70" t="s">
        <v>1228</v>
      </c>
      <c r="F554" s="89"/>
      <c r="G554" s="60"/>
      <c r="H554" s="60"/>
      <c r="I554" s="60"/>
      <c r="J554" s="60"/>
      <c r="K554" s="60"/>
      <c r="L554" s="61">
        <v>132.4</v>
      </c>
      <c r="M554" s="64"/>
      <c r="N554" s="61">
        <v>85</v>
      </c>
      <c r="O554" s="64"/>
      <c r="P554" s="64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59">
        <f t="shared" si="45"/>
        <v>46070</v>
      </c>
      <c r="AD554" s="57"/>
      <c r="AE554" s="60"/>
      <c r="AF554" s="59">
        <v>46062</v>
      </c>
      <c r="AG554" s="60"/>
      <c r="AH554" s="57"/>
      <c r="AI554" s="34"/>
      <c r="AJ554" s="34"/>
    </row>
    <row r="555" spans="1:36" s="2" customFormat="1" ht="16.5" x14ac:dyDescent="0.3">
      <c r="A555" s="27">
        <v>46057</v>
      </c>
      <c r="B555" s="27">
        <v>46056</v>
      </c>
      <c r="C555" s="21" t="s">
        <v>49</v>
      </c>
      <c r="D555" s="57" t="s">
        <v>1200</v>
      </c>
      <c r="E555" s="70" t="s">
        <v>1229</v>
      </c>
      <c r="F555" s="89"/>
      <c r="G555" s="60"/>
      <c r="H555" s="60"/>
      <c r="I555" s="60"/>
      <c r="J555" s="60"/>
      <c r="K555" s="60"/>
      <c r="L555" s="61">
        <v>18.600000000000001</v>
      </c>
      <c r="M555" s="64"/>
      <c r="N555" s="61">
        <v>16.399999999999999</v>
      </c>
      <c r="O555" s="64"/>
      <c r="P555" s="64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59">
        <f t="shared" si="45"/>
        <v>46070</v>
      </c>
      <c r="AD555" s="57"/>
      <c r="AE555" s="60"/>
      <c r="AF555" s="59">
        <v>46062</v>
      </c>
      <c r="AG555" s="60"/>
      <c r="AH555" s="57"/>
      <c r="AI555" s="34"/>
      <c r="AJ555" s="34"/>
    </row>
    <row r="556" spans="1:36" s="2" customFormat="1" ht="16.5" x14ac:dyDescent="0.3">
      <c r="A556" s="27">
        <v>46057</v>
      </c>
      <c r="B556" s="27">
        <v>46056</v>
      </c>
      <c r="C556" s="21" t="s">
        <v>49</v>
      </c>
      <c r="D556" s="57" t="s">
        <v>1201</v>
      </c>
      <c r="E556" s="70" t="s">
        <v>1230</v>
      </c>
      <c r="F556" s="89"/>
      <c r="G556" s="60"/>
      <c r="H556" s="60"/>
      <c r="I556" s="60"/>
      <c r="J556" s="60"/>
      <c r="K556" s="60"/>
      <c r="L556" s="61">
        <v>12</v>
      </c>
      <c r="M556" s="64"/>
      <c r="N556" s="61">
        <v>17.899999999999999</v>
      </c>
      <c r="O556" s="64"/>
      <c r="P556" s="64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59">
        <f t="shared" si="45"/>
        <v>46070</v>
      </c>
      <c r="AD556" s="57"/>
      <c r="AE556" s="60"/>
      <c r="AF556" s="59">
        <v>46062</v>
      </c>
      <c r="AG556" s="60"/>
      <c r="AH556" s="57"/>
      <c r="AI556" s="34"/>
      <c r="AJ556" s="34"/>
    </row>
    <row r="557" spans="1:36" s="2" customFormat="1" ht="16.5" x14ac:dyDescent="0.3">
      <c r="A557" s="27">
        <v>46057</v>
      </c>
      <c r="B557" s="27">
        <v>46056</v>
      </c>
      <c r="C557" s="21" t="s">
        <v>49</v>
      </c>
      <c r="D557" s="57" t="s">
        <v>1202</v>
      </c>
      <c r="E557" s="70" t="s">
        <v>1231</v>
      </c>
      <c r="F557" s="89"/>
      <c r="G557" s="60"/>
      <c r="H557" s="60"/>
      <c r="I557" s="60"/>
      <c r="J557" s="60"/>
      <c r="K557" s="60"/>
      <c r="L557" s="61">
        <v>33.5</v>
      </c>
      <c r="M557" s="64"/>
      <c r="N557" s="61">
        <v>44.4</v>
      </c>
      <c r="O557" s="64"/>
      <c r="P557" s="64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59">
        <f t="shared" si="45"/>
        <v>46070</v>
      </c>
      <c r="AD557" s="57"/>
      <c r="AE557" s="60"/>
      <c r="AF557" s="59">
        <v>46062</v>
      </c>
      <c r="AG557" s="60"/>
      <c r="AH557" s="57"/>
      <c r="AI557" s="34"/>
      <c r="AJ557" s="34"/>
    </row>
    <row r="558" spans="1:36" s="2" customFormat="1" ht="16.5" x14ac:dyDescent="0.3">
      <c r="A558" s="27">
        <v>46057</v>
      </c>
      <c r="B558" s="27">
        <v>46056</v>
      </c>
      <c r="C558" s="21" t="s">
        <v>49</v>
      </c>
      <c r="D558" s="57" t="s">
        <v>1203</v>
      </c>
      <c r="E558" s="70" t="s">
        <v>1232</v>
      </c>
      <c r="F558" s="89"/>
      <c r="G558" s="60"/>
      <c r="H558" s="60"/>
      <c r="I558" s="60"/>
      <c r="J558" s="60"/>
      <c r="K558" s="60"/>
      <c r="L558" s="61">
        <v>13.2</v>
      </c>
      <c r="M558" s="64"/>
      <c r="N558" s="61">
        <v>11.4</v>
      </c>
      <c r="O558" s="64"/>
      <c r="P558" s="64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59">
        <f t="shared" si="45"/>
        <v>46070</v>
      </c>
      <c r="AD558" s="57"/>
      <c r="AE558" s="60"/>
      <c r="AF558" s="59">
        <v>46062</v>
      </c>
      <c r="AG558" s="60"/>
      <c r="AH558" s="57"/>
      <c r="AI558" s="34"/>
      <c r="AJ558" s="34"/>
    </row>
    <row r="559" spans="1:36" s="2" customFormat="1" ht="16.5" x14ac:dyDescent="0.3">
      <c r="A559" s="27">
        <v>46057</v>
      </c>
      <c r="B559" s="27">
        <v>46056</v>
      </c>
      <c r="C559" s="21" t="s">
        <v>49</v>
      </c>
      <c r="D559" s="57" t="s">
        <v>1204</v>
      </c>
      <c r="E559" s="70" t="s">
        <v>1233</v>
      </c>
      <c r="F559" s="89"/>
      <c r="G559" s="60"/>
      <c r="H559" s="60"/>
      <c r="I559" s="60"/>
      <c r="J559" s="60"/>
      <c r="K559" s="60"/>
      <c r="L559" s="61">
        <v>52.4</v>
      </c>
      <c r="M559" s="64"/>
      <c r="N559" s="61">
        <v>184.9</v>
      </c>
      <c r="O559" s="64"/>
      <c r="P559" s="64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59">
        <f t="shared" si="45"/>
        <v>46070</v>
      </c>
      <c r="AD559" s="57"/>
      <c r="AE559" s="60"/>
      <c r="AF559" s="59">
        <v>46062</v>
      </c>
      <c r="AG559" s="60"/>
      <c r="AH559" s="57"/>
      <c r="AI559" s="34"/>
      <c r="AJ559" s="34"/>
    </row>
    <row r="560" spans="1:36" s="2" customFormat="1" ht="16.5" x14ac:dyDescent="0.3">
      <c r="A560" s="27">
        <v>46057</v>
      </c>
      <c r="B560" s="27">
        <v>46056</v>
      </c>
      <c r="C560" s="21" t="s">
        <v>49</v>
      </c>
      <c r="D560" s="57" t="s">
        <v>1205</v>
      </c>
      <c r="E560" s="70" t="s">
        <v>1234</v>
      </c>
      <c r="F560" s="89"/>
      <c r="G560" s="60"/>
      <c r="H560" s="60"/>
      <c r="I560" s="60"/>
      <c r="J560" s="60"/>
      <c r="K560" s="60"/>
      <c r="L560" s="61">
        <v>157</v>
      </c>
      <c r="M560" s="64"/>
      <c r="N560" s="61">
        <v>179.4</v>
      </c>
      <c r="O560" s="64"/>
      <c r="P560" s="64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59">
        <f t="shared" si="45"/>
        <v>46070</v>
      </c>
      <c r="AD560" s="57"/>
      <c r="AE560" s="60"/>
      <c r="AF560" s="59">
        <v>46062</v>
      </c>
      <c r="AG560" s="60"/>
      <c r="AH560" s="57"/>
      <c r="AI560" s="34"/>
      <c r="AJ560" s="34"/>
    </row>
    <row r="561" spans="1:36" s="2" customFormat="1" ht="16.5" x14ac:dyDescent="0.3">
      <c r="A561" s="27">
        <v>46057</v>
      </c>
      <c r="B561" s="27">
        <v>46056</v>
      </c>
      <c r="C561" s="21" t="s">
        <v>49</v>
      </c>
      <c r="D561" s="57" t="s">
        <v>1206</v>
      </c>
      <c r="E561" s="70" t="s">
        <v>1235</v>
      </c>
      <c r="F561" s="89"/>
      <c r="G561" s="60"/>
      <c r="H561" s="60"/>
      <c r="I561" s="60"/>
      <c r="J561" s="60"/>
      <c r="K561" s="60"/>
      <c r="L561" s="61">
        <v>13.7</v>
      </c>
      <c r="M561" s="64"/>
      <c r="N561" s="61">
        <v>12.9</v>
      </c>
      <c r="O561" s="64"/>
      <c r="P561" s="64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59">
        <f t="shared" si="45"/>
        <v>46070</v>
      </c>
      <c r="AD561" s="57"/>
      <c r="AE561" s="60"/>
      <c r="AF561" s="59">
        <v>46062</v>
      </c>
      <c r="AG561" s="60"/>
      <c r="AH561" s="57"/>
      <c r="AI561" s="34"/>
      <c r="AJ561" s="34"/>
    </row>
    <row r="562" spans="1:36" s="2" customFormat="1" ht="16.5" x14ac:dyDescent="0.3">
      <c r="A562" s="27">
        <v>46057</v>
      </c>
      <c r="B562" s="27">
        <v>46056</v>
      </c>
      <c r="C562" s="21" t="s">
        <v>49</v>
      </c>
      <c r="D562" s="57" t="s">
        <v>1207</v>
      </c>
      <c r="E562" s="70" t="s">
        <v>1236</v>
      </c>
      <c r="F562" s="89"/>
      <c r="G562" s="60"/>
      <c r="H562" s="60"/>
      <c r="I562" s="60"/>
      <c r="J562" s="60"/>
      <c r="K562" s="60"/>
      <c r="L562" s="61">
        <v>19.8</v>
      </c>
      <c r="M562" s="64"/>
      <c r="N562" s="61">
        <v>16.600000000000001</v>
      </c>
      <c r="O562" s="64"/>
      <c r="P562" s="64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59">
        <f t="shared" si="45"/>
        <v>46070</v>
      </c>
      <c r="AD562" s="57"/>
      <c r="AE562" s="60"/>
      <c r="AF562" s="59">
        <v>46062</v>
      </c>
      <c r="AG562" s="60"/>
      <c r="AH562" s="57"/>
      <c r="AI562" s="34"/>
      <c r="AJ562" s="34"/>
    </row>
    <row r="563" spans="1:36" s="2" customFormat="1" ht="16.5" x14ac:dyDescent="0.3">
      <c r="A563" s="27">
        <v>46057</v>
      </c>
      <c r="B563" s="27">
        <v>46056</v>
      </c>
      <c r="C563" s="21" t="s">
        <v>49</v>
      </c>
      <c r="D563" s="57" t="s">
        <v>1237</v>
      </c>
      <c r="E563" s="70" t="s">
        <v>1238</v>
      </c>
      <c r="F563" s="89"/>
      <c r="G563" s="60"/>
      <c r="H563" s="60"/>
      <c r="I563" s="60"/>
      <c r="J563" s="60"/>
      <c r="K563" s="60"/>
      <c r="L563" s="61">
        <v>17.3</v>
      </c>
      <c r="M563" s="64"/>
      <c r="N563" s="61">
        <v>13.8</v>
      </c>
      <c r="O563" s="64"/>
      <c r="P563" s="64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59">
        <f t="shared" ref="AC563" si="47">B563+14</f>
        <v>46070</v>
      </c>
      <c r="AD563" s="57"/>
      <c r="AE563" s="60"/>
      <c r="AF563" s="59">
        <v>46062</v>
      </c>
      <c r="AG563" s="60"/>
      <c r="AH563" s="57"/>
      <c r="AI563" s="34"/>
      <c r="AJ563" s="34"/>
    </row>
    <row r="564" spans="1:36" s="2" customFormat="1" ht="16.5" x14ac:dyDescent="0.3">
      <c r="A564" s="27">
        <v>46057</v>
      </c>
      <c r="B564" s="27">
        <v>46056</v>
      </c>
      <c r="C564" s="21" t="s">
        <v>49</v>
      </c>
      <c r="D564" s="57" t="s">
        <v>1208</v>
      </c>
      <c r="E564" s="70" t="s">
        <v>1239</v>
      </c>
      <c r="F564" s="89"/>
      <c r="G564" s="60"/>
      <c r="H564" s="60"/>
      <c r="I564" s="60"/>
      <c r="J564" s="60"/>
      <c r="K564" s="60"/>
      <c r="L564" s="61">
        <v>21.8</v>
      </c>
      <c r="M564" s="64"/>
      <c r="N564" s="61">
        <v>37.9</v>
      </c>
      <c r="O564" s="64"/>
      <c r="P564" s="64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59">
        <f t="shared" si="45"/>
        <v>46070</v>
      </c>
      <c r="AD564" s="57"/>
      <c r="AE564" s="60"/>
      <c r="AF564" s="59">
        <v>46062</v>
      </c>
      <c r="AG564" s="60"/>
      <c r="AH564" s="57"/>
      <c r="AI564" s="34"/>
      <c r="AJ564" s="34"/>
    </row>
    <row r="565" spans="1:36" s="2" customFormat="1" ht="16.5" x14ac:dyDescent="0.3">
      <c r="A565" s="27">
        <v>46057</v>
      </c>
      <c r="B565" s="27">
        <v>46056</v>
      </c>
      <c r="C565" s="21" t="s">
        <v>49</v>
      </c>
      <c r="D565" s="57" t="s">
        <v>1209</v>
      </c>
      <c r="E565" s="70" t="s">
        <v>1240</v>
      </c>
      <c r="F565" s="89"/>
      <c r="G565" s="60"/>
      <c r="H565" s="60"/>
      <c r="I565" s="60"/>
      <c r="J565" s="60"/>
      <c r="K565" s="60"/>
      <c r="L565" s="61">
        <v>18.7</v>
      </c>
      <c r="M565" s="64"/>
      <c r="N565" s="61">
        <v>11.5</v>
      </c>
      <c r="O565" s="64"/>
      <c r="P565" s="64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59">
        <f t="shared" si="45"/>
        <v>46070</v>
      </c>
      <c r="AD565" s="57"/>
      <c r="AE565" s="60"/>
      <c r="AF565" s="59">
        <v>46062</v>
      </c>
      <c r="AG565" s="60"/>
      <c r="AH565" s="57"/>
      <c r="AI565" s="34"/>
      <c r="AJ565" s="34"/>
    </row>
    <row r="566" spans="1:36" s="2" customFormat="1" ht="16.5" x14ac:dyDescent="0.3">
      <c r="A566" s="27">
        <v>46057</v>
      </c>
      <c r="B566" s="27">
        <v>46056</v>
      </c>
      <c r="C566" s="21" t="s">
        <v>49</v>
      </c>
      <c r="D566" s="57" t="s">
        <v>1210</v>
      </c>
      <c r="E566" s="70" t="s">
        <v>1241</v>
      </c>
      <c r="F566" s="89"/>
      <c r="G566" s="60"/>
      <c r="H566" s="60"/>
      <c r="I566" s="60"/>
      <c r="J566" s="60"/>
      <c r="K566" s="60"/>
      <c r="L566" s="61">
        <v>22.2</v>
      </c>
      <c r="M566" s="64"/>
      <c r="N566" s="61">
        <v>11.3</v>
      </c>
      <c r="O566" s="64"/>
      <c r="P566" s="64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59">
        <f t="shared" si="45"/>
        <v>46070</v>
      </c>
      <c r="AD566" s="57"/>
      <c r="AE566" s="60"/>
      <c r="AF566" s="59">
        <v>46062</v>
      </c>
      <c r="AG566" s="60"/>
      <c r="AH566" s="57"/>
      <c r="AI566" s="34"/>
      <c r="AJ566" s="34"/>
    </row>
    <row r="567" spans="1:36" s="2" customFormat="1" ht="16.5" x14ac:dyDescent="0.3">
      <c r="A567" s="27">
        <v>46057</v>
      </c>
      <c r="B567" s="27">
        <v>46056</v>
      </c>
      <c r="C567" s="21" t="s">
        <v>49</v>
      </c>
      <c r="D567" s="57" t="s">
        <v>1211</v>
      </c>
      <c r="E567" s="70" t="s">
        <v>1242</v>
      </c>
      <c r="F567" s="89"/>
      <c r="G567" s="60"/>
      <c r="H567" s="60"/>
      <c r="I567" s="60"/>
      <c r="J567" s="60"/>
      <c r="K567" s="60"/>
      <c r="L567" s="61">
        <v>20.2</v>
      </c>
      <c r="M567" s="64"/>
      <c r="N567" s="61">
        <v>13</v>
      </c>
      <c r="O567" s="64"/>
      <c r="P567" s="64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59">
        <f t="shared" si="45"/>
        <v>46070</v>
      </c>
      <c r="AD567" s="57"/>
      <c r="AE567" s="60"/>
      <c r="AF567" s="59">
        <v>46062</v>
      </c>
      <c r="AG567" s="60"/>
      <c r="AH567" s="57"/>
      <c r="AI567" s="34"/>
      <c r="AJ567" s="34"/>
    </row>
    <row r="568" spans="1:36" s="2" customFormat="1" ht="16.5" x14ac:dyDescent="0.3">
      <c r="A568" s="27">
        <v>46057</v>
      </c>
      <c r="B568" s="27">
        <v>46056</v>
      </c>
      <c r="C568" s="21" t="s">
        <v>49</v>
      </c>
      <c r="D568" s="57" t="s">
        <v>1212</v>
      </c>
      <c r="E568" s="70" t="s">
        <v>1243</v>
      </c>
      <c r="F568" s="89"/>
      <c r="G568" s="60"/>
      <c r="H568" s="60"/>
      <c r="I568" s="60"/>
      <c r="J568" s="60"/>
      <c r="K568" s="60"/>
      <c r="L568" s="61">
        <v>14</v>
      </c>
      <c r="M568" s="64"/>
      <c r="N568" s="61">
        <v>11.3</v>
      </c>
      <c r="O568" s="64"/>
      <c r="P568" s="64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59">
        <f t="shared" si="45"/>
        <v>46070</v>
      </c>
      <c r="AD568" s="57"/>
      <c r="AE568" s="60"/>
      <c r="AF568" s="59">
        <v>46062</v>
      </c>
      <c r="AG568" s="60"/>
      <c r="AH568" s="57"/>
      <c r="AI568" s="34"/>
      <c r="AJ568" s="34"/>
    </row>
    <row r="569" spans="1:36" s="2" customFormat="1" ht="16.5" x14ac:dyDescent="0.3">
      <c r="A569" s="27">
        <v>46057</v>
      </c>
      <c r="B569" s="27">
        <v>46056</v>
      </c>
      <c r="C569" s="21" t="s">
        <v>49</v>
      </c>
      <c r="D569" s="57" t="s">
        <v>1244</v>
      </c>
      <c r="E569" s="70" t="s">
        <v>1246</v>
      </c>
      <c r="F569" s="89"/>
      <c r="G569" s="60"/>
      <c r="H569" s="60"/>
      <c r="I569" s="60"/>
      <c r="J569" s="60"/>
      <c r="K569" s="60"/>
      <c r="L569" s="61" t="s">
        <v>140</v>
      </c>
      <c r="M569" s="64"/>
      <c r="N569" s="61" t="s">
        <v>140</v>
      </c>
      <c r="O569" s="64"/>
      <c r="P569" s="64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59">
        <f t="shared" ref="AC569:AC570" si="48">B569+14</f>
        <v>46070</v>
      </c>
      <c r="AD569" s="57"/>
      <c r="AE569" s="60"/>
      <c r="AF569" s="59">
        <v>46062</v>
      </c>
      <c r="AG569" s="60"/>
      <c r="AH569" s="57"/>
      <c r="AI569" s="34"/>
      <c r="AJ569" s="34"/>
    </row>
    <row r="570" spans="1:36" s="2" customFormat="1" ht="16.5" x14ac:dyDescent="0.3">
      <c r="A570" s="27">
        <v>46057</v>
      </c>
      <c r="B570" s="27">
        <v>46056</v>
      </c>
      <c r="C570" s="21" t="s">
        <v>49</v>
      </c>
      <c r="D570" s="57" t="s">
        <v>1245</v>
      </c>
      <c r="E570" s="70" t="s">
        <v>1247</v>
      </c>
      <c r="F570" s="89"/>
      <c r="G570" s="60"/>
      <c r="H570" s="60"/>
      <c r="I570" s="60"/>
      <c r="J570" s="60"/>
      <c r="K570" s="60"/>
      <c r="L570" s="61" t="s">
        <v>140</v>
      </c>
      <c r="M570" s="64"/>
      <c r="N570" s="61" t="s">
        <v>140</v>
      </c>
      <c r="O570" s="64"/>
      <c r="P570" s="64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59">
        <f t="shared" si="48"/>
        <v>46070</v>
      </c>
      <c r="AD570" s="57"/>
      <c r="AE570" s="60"/>
      <c r="AF570" s="59">
        <v>46062</v>
      </c>
      <c r="AG570" s="60"/>
      <c r="AH570" s="57"/>
      <c r="AI570" s="34"/>
      <c r="AJ570" s="34"/>
    </row>
    <row r="571" spans="1:36" s="2" customFormat="1" ht="27" customHeight="1" x14ac:dyDescent="0.3">
      <c r="D571" s="23"/>
      <c r="AH571" s="34"/>
      <c r="AI571" s="34"/>
    </row>
    <row r="572" spans="1:36" s="2" customFormat="1" ht="27" customHeight="1" x14ac:dyDescent="0.3">
      <c r="D572" s="23"/>
      <c r="AH572" s="34"/>
      <c r="AI572" s="34"/>
    </row>
    <row r="573" spans="1:36" s="2" customFormat="1" ht="27" customHeight="1" x14ac:dyDescent="0.3">
      <c r="D573" s="23"/>
      <c r="AH573" s="34"/>
      <c r="AI573" s="34"/>
    </row>
    <row r="574" spans="1:36" s="2" customFormat="1" ht="27" customHeight="1" x14ac:dyDescent="0.3">
      <c r="D574" s="23"/>
      <c r="AH574" s="34"/>
      <c r="AI574" s="34"/>
    </row>
    <row r="575" spans="1:36" s="2" customFormat="1" ht="27" customHeight="1" x14ac:dyDescent="0.3">
      <c r="D575" s="23"/>
      <c r="AH575" s="34"/>
      <c r="AI575" s="34"/>
    </row>
    <row r="576" spans="1:36" s="2" customFormat="1" ht="27" customHeight="1" x14ac:dyDescent="0.3">
      <c r="D576" s="23"/>
      <c r="AH576" s="34"/>
      <c r="AI576" s="34"/>
    </row>
    <row r="577" spans="4:35" s="2" customFormat="1" ht="27" customHeight="1" x14ac:dyDescent="0.3">
      <c r="D577" s="23"/>
      <c r="AH577" s="34"/>
      <c r="AI577" s="34"/>
    </row>
    <row r="578" spans="4:35" s="2" customFormat="1" ht="27" customHeight="1" x14ac:dyDescent="0.3">
      <c r="D578" s="23"/>
      <c r="AH578" s="34"/>
      <c r="AI578" s="34"/>
    </row>
    <row r="579" spans="4:35" s="2" customFormat="1" ht="27" customHeight="1" x14ac:dyDescent="0.3">
      <c r="D579" s="23"/>
      <c r="AH579" s="34"/>
      <c r="AI579" s="34"/>
    </row>
    <row r="580" spans="4:35" s="2" customFormat="1" ht="27" customHeight="1" x14ac:dyDescent="0.3">
      <c r="D580" s="23"/>
      <c r="AH580" s="34"/>
      <c r="AI580" s="34"/>
    </row>
    <row r="581" spans="4:35" s="2" customFormat="1" ht="27" customHeight="1" x14ac:dyDescent="0.3">
      <c r="D581" s="23"/>
      <c r="AH581" s="34"/>
      <c r="AI581" s="34"/>
    </row>
    <row r="582" spans="4:35" s="2" customFormat="1" ht="27" customHeight="1" x14ac:dyDescent="0.3">
      <c r="D582" s="23"/>
      <c r="AH582" s="34"/>
      <c r="AI582" s="34"/>
    </row>
    <row r="583" spans="4:35" s="2" customFormat="1" ht="27" customHeight="1" x14ac:dyDescent="0.3">
      <c r="D583" s="23"/>
      <c r="AH583" s="34"/>
      <c r="AI583" s="34"/>
    </row>
    <row r="584" spans="4:35" s="2" customFormat="1" ht="27" customHeight="1" x14ac:dyDescent="0.3">
      <c r="D584" s="23"/>
      <c r="AH584" s="34"/>
      <c r="AI584" s="34"/>
    </row>
    <row r="585" spans="4:35" s="2" customFormat="1" ht="27" customHeight="1" x14ac:dyDescent="0.3">
      <c r="D585" s="23"/>
      <c r="AH585" s="34"/>
      <c r="AI585" s="34"/>
    </row>
    <row r="586" spans="4:35" s="2" customFormat="1" ht="27" customHeight="1" x14ac:dyDescent="0.3">
      <c r="D586" s="23"/>
      <c r="AH586" s="34"/>
      <c r="AI586" s="34"/>
    </row>
    <row r="587" spans="4:35" s="2" customFormat="1" ht="27" customHeight="1" x14ac:dyDescent="0.3">
      <c r="D587" s="23"/>
      <c r="AH587" s="34"/>
      <c r="AI587" s="34"/>
    </row>
    <row r="588" spans="4:35" s="2" customFormat="1" ht="27" customHeight="1" x14ac:dyDescent="0.3">
      <c r="D588" s="23"/>
      <c r="AH588" s="34"/>
      <c r="AI588" s="34"/>
    </row>
    <row r="589" spans="4:35" s="2" customFormat="1" ht="27" customHeight="1" x14ac:dyDescent="0.3">
      <c r="D589" s="23"/>
      <c r="AH589" s="34"/>
      <c r="AI589" s="34"/>
    </row>
    <row r="590" spans="4:35" s="2" customFormat="1" ht="27" customHeight="1" x14ac:dyDescent="0.3">
      <c r="D590" s="23"/>
      <c r="AH590" s="34"/>
      <c r="AI590" s="34"/>
    </row>
    <row r="591" spans="4:35" s="2" customFormat="1" ht="27" customHeight="1" x14ac:dyDescent="0.3">
      <c r="D591" s="23"/>
      <c r="AH591" s="34"/>
      <c r="AI591" s="34"/>
    </row>
    <row r="592" spans="4:35" s="2" customFormat="1" ht="27" customHeight="1" x14ac:dyDescent="0.3">
      <c r="D592" s="23"/>
      <c r="AH592" s="34"/>
      <c r="AI592" s="34"/>
    </row>
    <row r="593" spans="4:35" s="2" customFormat="1" ht="27" customHeight="1" x14ac:dyDescent="0.3">
      <c r="D593" s="23"/>
      <c r="AH593" s="34"/>
      <c r="AI593" s="34"/>
    </row>
    <row r="594" spans="4:35" s="2" customFormat="1" ht="27" customHeight="1" x14ac:dyDescent="0.3">
      <c r="D594" s="23"/>
      <c r="AH594" s="34"/>
      <c r="AI594" s="34"/>
    </row>
    <row r="595" spans="4:35" s="2" customFormat="1" ht="27" customHeight="1" x14ac:dyDescent="0.3">
      <c r="D595" s="23"/>
      <c r="AH595" s="34"/>
      <c r="AI595" s="34"/>
    </row>
    <row r="596" spans="4:35" s="2" customFormat="1" ht="27" customHeight="1" x14ac:dyDescent="0.3">
      <c r="D596" s="23"/>
      <c r="AH596" s="34"/>
      <c r="AI596" s="34"/>
    </row>
    <row r="597" spans="4:35" s="2" customFormat="1" ht="27" customHeight="1" x14ac:dyDescent="0.3">
      <c r="D597" s="23"/>
      <c r="AH597" s="34"/>
      <c r="AI597" s="34"/>
    </row>
    <row r="598" spans="4:35" s="2" customFormat="1" ht="27" customHeight="1" x14ac:dyDescent="0.3">
      <c r="D598" s="23"/>
      <c r="AH598" s="34"/>
      <c r="AI598" s="34"/>
    </row>
    <row r="599" spans="4:35" s="2" customFormat="1" ht="27" customHeight="1" x14ac:dyDescent="0.3">
      <c r="D599" s="23"/>
      <c r="AH599" s="34"/>
      <c r="AI599" s="34"/>
    </row>
    <row r="600" spans="4:35" s="2" customFormat="1" ht="27" customHeight="1" x14ac:dyDescent="0.3">
      <c r="D600" s="23"/>
      <c r="AH600" s="34"/>
      <c r="AI600" s="34"/>
    </row>
    <row r="601" spans="4:35" s="2" customFormat="1" ht="27" customHeight="1" x14ac:dyDescent="0.3">
      <c r="D601" s="23"/>
      <c r="AH601" s="34"/>
      <c r="AI601" s="34"/>
    </row>
    <row r="602" spans="4:35" s="2" customFormat="1" ht="27" customHeight="1" x14ac:dyDescent="0.3">
      <c r="D602" s="23"/>
      <c r="AH602" s="34"/>
      <c r="AI602" s="34"/>
    </row>
    <row r="603" spans="4:35" s="2" customFormat="1" ht="27" customHeight="1" x14ac:dyDescent="0.3">
      <c r="D603" s="23"/>
      <c r="AH603" s="34"/>
      <c r="AI603" s="34"/>
    </row>
    <row r="604" spans="4:35" s="2" customFormat="1" ht="27" customHeight="1" x14ac:dyDescent="0.3">
      <c r="D604" s="23"/>
      <c r="AH604" s="34"/>
      <c r="AI604" s="34"/>
    </row>
    <row r="605" spans="4:35" s="2" customFormat="1" ht="27" customHeight="1" x14ac:dyDescent="0.3">
      <c r="D605" s="23"/>
      <c r="AH605" s="34"/>
      <c r="AI605" s="34"/>
    </row>
    <row r="606" spans="4:35" s="2" customFormat="1" ht="27" customHeight="1" x14ac:dyDescent="0.3">
      <c r="D606" s="23"/>
      <c r="AH606" s="34"/>
      <c r="AI606" s="34"/>
    </row>
    <row r="607" spans="4:35" s="2" customFormat="1" ht="27" customHeight="1" x14ac:dyDescent="0.3">
      <c r="D607" s="23"/>
      <c r="AH607" s="34"/>
      <c r="AI607" s="34"/>
    </row>
    <row r="608" spans="4:35" s="2" customFormat="1" ht="27" customHeight="1" x14ac:dyDescent="0.3">
      <c r="D608" s="23"/>
      <c r="AH608" s="34"/>
      <c r="AI608" s="34"/>
    </row>
    <row r="609" spans="4:35" s="2" customFormat="1" ht="27" customHeight="1" x14ac:dyDescent="0.3">
      <c r="D609" s="23"/>
      <c r="AH609" s="34"/>
      <c r="AI609" s="34"/>
    </row>
    <row r="610" spans="4:35" s="2" customFormat="1" ht="27" customHeight="1" x14ac:dyDescent="0.3">
      <c r="D610" s="23"/>
      <c r="AH610" s="34"/>
      <c r="AI610" s="34"/>
    </row>
    <row r="611" spans="4:35" s="2" customFormat="1" ht="27" customHeight="1" x14ac:dyDescent="0.3">
      <c r="D611" s="23"/>
      <c r="AH611" s="34"/>
      <c r="AI611" s="34"/>
    </row>
    <row r="612" spans="4:35" s="2" customFormat="1" ht="27" customHeight="1" x14ac:dyDescent="0.3">
      <c r="D612" s="23"/>
      <c r="AH612" s="34"/>
      <c r="AI612" s="34"/>
    </row>
    <row r="613" spans="4:35" s="2" customFormat="1" ht="27" customHeight="1" x14ac:dyDescent="0.3">
      <c r="D613" s="23"/>
      <c r="AH613" s="34"/>
      <c r="AI613" s="34"/>
    </row>
    <row r="614" spans="4:35" s="2" customFormat="1" ht="27" customHeight="1" x14ac:dyDescent="0.3">
      <c r="D614" s="23"/>
      <c r="AH614" s="34"/>
      <c r="AI614" s="34"/>
    </row>
    <row r="615" spans="4:35" s="2" customFormat="1" ht="27" customHeight="1" x14ac:dyDescent="0.3">
      <c r="D615" s="23"/>
      <c r="AH615" s="34"/>
      <c r="AI615" s="34"/>
    </row>
    <row r="616" spans="4:35" s="2" customFormat="1" ht="27" customHeight="1" x14ac:dyDescent="0.3">
      <c r="D616" s="23"/>
      <c r="AH616" s="34"/>
      <c r="AI616" s="34"/>
    </row>
    <row r="617" spans="4:35" s="2" customFormat="1" ht="27" customHeight="1" x14ac:dyDescent="0.3">
      <c r="D617" s="23"/>
      <c r="AH617" s="34"/>
      <c r="AI617" s="34"/>
    </row>
    <row r="618" spans="4:35" s="2" customFormat="1" ht="27" customHeight="1" x14ac:dyDescent="0.3">
      <c r="D618" s="23"/>
      <c r="AH618" s="34"/>
      <c r="AI618" s="34"/>
    </row>
    <row r="619" spans="4:35" s="2" customFormat="1" ht="27" customHeight="1" x14ac:dyDescent="0.3">
      <c r="D619" s="23"/>
      <c r="AH619" s="34"/>
      <c r="AI619" s="34"/>
    </row>
    <row r="620" spans="4:35" s="2" customFormat="1" ht="27" customHeight="1" x14ac:dyDescent="0.3">
      <c r="D620" s="23"/>
      <c r="AH620" s="34"/>
      <c r="AI620" s="34"/>
    </row>
    <row r="621" spans="4:35" s="2" customFormat="1" ht="27" customHeight="1" x14ac:dyDescent="0.3">
      <c r="D621" s="23"/>
      <c r="AH621" s="34"/>
      <c r="AI621" s="34"/>
    </row>
    <row r="622" spans="4:35" s="2" customFormat="1" ht="27" customHeight="1" x14ac:dyDescent="0.3">
      <c r="D622" s="23"/>
      <c r="AH622" s="34"/>
      <c r="AI622" s="34"/>
    </row>
    <row r="623" spans="4:35" s="2" customFormat="1" ht="27" customHeight="1" x14ac:dyDescent="0.3">
      <c r="D623" s="23"/>
      <c r="AH623" s="34"/>
      <c r="AI623" s="34"/>
    </row>
    <row r="624" spans="4:35" s="2" customFormat="1" ht="27" customHeight="1" x14ac:dyDescent="0.3">
      <c r="D624" s="23"/>
      <c r="AH624" s="34"/>
      <c r="AI624" s="34"/>
    </row>
    <row r="625" spans="4:35" s="2" customFormat="1" ht="27" customHeight="1" x14ac:dyDescent="0.3">
      <c r="D625" s="23"/>
      <c r="AH625" s="34"/>
      <c r="AI625" s="34"/>
    </row>
    <row r="626" spans="4:35" s="2" customFormat="1" ht="27" customHeight="1" x14ac:dyDescent="0.3">
      <c r="D626" s="23"/>
      <c r="AH626" s="34"/>
      <c r="AI626" s="34"/>
    </row>
    <row r="627" spans="4:35" s="2" customFormat="1" ht="27" customHeight="1" x14ac:dyDescent="0.3">
      <c r="D627" s="23"/>
      <c r="AH627" s="34"/>
      <c r="AI627" s="34"/>
    </row>
    <row r="628" spans="4:35" s="2" customFormat="1" ht="27" customHeight="1" x14ac:dyDescent="0.3">
      <c r="D628" s="23"/>
      <c r="AH628" s="34"/>
      <c r="AI628" s="34"/>
    </row>
    <row r="629" spans="4:35" s="2" customFormat="1" ht="27" customHeight="1" x14ac:dyDescent="0.3">
      <c r="D629" s="23"/>
      <c r="AH629" s="34"/>
      <c r="AI629" s="34"/>
    </row>
    <row r="630" spans="4:35" s="2" customFormat="1" ht="27" customHeight="1" x14ac:dyDescent="0.3">
      <c r="D630" s="23"/>
      <c r="AH630" s="34"/>
      <c r="AI630" s="34"/>
    </row>
    <row r="631" spans="4:35" s="2" customFormat="1" ht="27" customHeight="1" x14ac:dyDescent="0.3">
      <c r="D631" s="23"/>
      <c r="AH631" s="34"/>
      <c r="AI631" s="34"/>
    </row>
    <row r="632" spans="4:35" s="2" customFormat="1" ht="27" customHeight="1" x14ac:dyDescent="0.3">
      <c r="D632" s="23"/>
      <c r="AH632" s="34"/>
      <c r="AI632" s="34"/>
    </row>
    <row r="633" spans="4:35" s="2" customFormat="1" ht="27" customHeight="1" x14ac:dyDescent="0.3">
      <c r="D633" s="23"/>
      <c r="AH633" s="34"/>
      <c r="AI633" s="34"/>
    </row>
    <row r="634" spans="4:35" s="2" customFormat="1" ht="27" customHeight="1" x14ac:dyDescent="0.3">
      <c r="D634" s="23"/>
      <c r="AH634" s="34"/>
      <c r="AI634" s="34"/>
    </row>
    <row r="635" spans="4:35" s="2" customFormat="1" ht="27" customHeight="1" x14ac:dyDescent="0.3">
      <c r="D635" s="23"/>
      <c r="AH635" s="34"/>
      <c r="AI635" s="34"/>
    </row>
    <row r="636" spans="4:35" s="2" customFormat="1" ht="27" customHeight="1" x14ac:dyDescent="0.3">
      <c r="D636" s="23"/>
      <c r="AH636" s="34"/>
      <c r="AI636" s="34"/>
    </row>
    <row r="637" spans="4:35" s="2" customFormat="1" ht="27" customHeight="1" x14ac:dyDescent="0.3">
      <c r="D637" s="23"/>
      <c r="AH637" s="34"/>
      <c r="AI637" s="34"/>
    </row>
    <row r="638" spans="4:35" s="2" customFormat="1" ht="27" customHeight="1" x14ac:dyDescent="0.3">
      <c r="D638" s="23"/>
      <c r="AH638" s="34"/>
      <c r="AI638" s="34"/>
    </row>
    <row r="639" spans="4:35" s="2" customFormat="1" ht="27" customHeight="1" x14ac:dyDescent="0.3">
      <c r="D639" s="23"/>
      <c r="AH639" s="34"/>
      <c r="AI639" s="34"/>
    </row>
    <row r="640" spans="4:35" s="2" customFormat="1" ht="27" customHeight="1" x14ac:dyDescent="0.3">
      <c r="D640" s="23"/>
      <c r="AH640" s="34"/>
      <c r="AI640" s="34"/>
    </row>
    <row r="641" spans="4:35" s="2" customFormat="1" ht="27" customHeight="1" x14ac:dyDescent="0.3">
      <c r="D641" s="23"/>
      <c r="AH641" s="34"/>
      <c r="AI641" s="34"/>
    </row>
    <row r="642" spans="4:35" s="2" customFormat="1" ht="27" customHeight="1" x14ac:dyDescent="0.3">
      <c r="D642" s="23"/>
      <c r="AH642" s="34"/>
      <c r="AI642" s="34"/>
    </row>
    <row r="643" spans="4:35" s="2" customFormat="1" ht="27" customHeight="1" x14ac:dyDescent="0.3">
      <c r="D643" s="23"/>
      <c r="AH643" s="34"/>
      <c r="AI643" s="34"/>
    </row>
    <row r="644" spans="4:35" s="2" customFormat="1" ht="27" customHeight="1" x14ac:dyDescent="0.3">
      <c r="D644" s="23"/>
      <c r="AH644" s="34"/>
      <c r="AI644" s="34"/>
    </row>
    <row r="645" spans="4:35" s="2" customFormat="1" ht="27" customHeight="1" x14ac:dyDescent="0.3">
      <c r="D645" s="23"/>
      <c r="AH645" s="34"/>
      <c r="AI645" s="34"/>
    </row>
    <row r="646" spans="4:35" s="2" customFormat="1" ht="27" customHeight="1" x14ac:dyDescent="0.3">
      <c r="D646" s="23"/>
      <c r="AH646" s="34"/>
      <c r="AI646" s="34"/>
    </row>
    <row r="647" spans="4:35" s="2" customFormat="1" ht="27" customHeight="1" x14ac:dyDescent="0.3">
      <c r="D647" s="23"/>
      <c r="AH647" s="34"/>
      <c r="AI647" s="34"/>
    </row>
    <row r="648" spans="4:35" s="2" customFormat="1" ht="27" customHeight="1" x14ac:dyDescent="0.3">
      <c r="D648" s="23"/>
      <c r="AH648" s="34"/>
      <c r="AI648" s="34"/>
    </row>
    <row r="649" spans="4:35" s="2" customFormat="1" ht="27" customHeight="1" x14ac:dyDescent="0.3">
      <c r="D649" s="23"/>
      <c r="AH649" s="34"/>
      <c r="AI649" s="34"/>
    </row>
    <row r="650" spans="4:35" s="2" customFormat="1" ht="27" customHeight="1" x14ac:dyDescent="0.3">
      <c r="D650" s="23"/>
      <c r="AH650" s="34"/>
      <c r="AI650" s="34"/>
    </row>
    <row r="651" spans="4:35" s="2" customFormat="1" ht="27" customHeight="1" x14ac:dyDescent="0.3">
      <c r="D651" s="23"/>
      <c r="AH651" s="34"/>
      <c r="AI651" s="34"/>
    </row>
    <row r="652" spans="4:35" s="2" customFormat="1" ht="27" customHeight="1" x14ac:dyDescent="0.3">
      <c r="D652" s="23"/>
      <c r="AH652" s="34"/>
      <c r="AI652" s="34"/>
    </row>
    <row r="653" spans="4:35" s="2" customFormat="1" ht="27" customHeight="1" x14ac:dyDescent="0.3">
      <c r="D653" s="23"/>
      <c r="AH653" s="34"/>
      <c r="AI653" s="34"/>
    </row>
    <row r="654" spans="4:35" s="2" customFormat="1" ht="27" customHeight="1" x14ac:dyDescent="0.3">
      <c r="D654" s="23"/>
      <c r="AH654" s="34"/>
      <c r="AI654" s="34"/>
    </row>
    <row r="655" spans="4:35" s="2" customFormat="1" ht="27" customHeight="1" x14ac:dyDescent="0.3">
      <c r="D655" s="23"/>
      <c r="AH655" s="34"/>
      <c r="AI655" s="34"/>
    </row>
    <row r="656" spans="4:35" s="2" customFormat="1" ht="27" customHeight="1" x14ac:dyDescent="0.3">
      <c r="D656" s="23"/>
      <c r="AH656" s="34"/>
      <c r="AI656" s="34"/>
    </row>
    <row r="657" spans="4:35" s="2" customFormat="1" ht="27" customHeight="1" x14ac:dyDescent="0.3">
      <c r="D657" s="23"/>
      <c r="AH657" s="34"/>
      <c r="AI657" s="34"/>
    </row>
    <row r="658" spans="4:35" s="2" customFormat="1" ht="27" customHeight="1" x14ac:dyDescent="0.3">
      <c r="D658" s="23"/>
      <c r="AH658" s="34"/>
      <c r="AI658" s="34"/>
    </row>
    <row r="659" spans="4:35" s="2" customFormat="1" ht="27" customHeight="1" x14ac:dyDescent="0.3">
      <c r="D659" s="23"/>
      <c r="AH659" s="34"/>
      <c r="AI659" s="34"/>
    </row>
    <row r="660" spans="4:35" s="2" customFormat="1" ht="27" customHeight="1" x14ac:dyDescent="0.3">
      <c r="D660" s="23"/>
      <c r="AH660" s="34"/>
      <c r="AI660" s="34"/>
    </row>
    <row r="661" spans="4:35" s="2" customFormat="1" ht="27" customHeight="1" x14ac:dyDescent="0.3">
      <c r="D661" s="23"/>
      <c r="AH661" s="34"/>
      <c r="AI661" s="34"/>
    </row>
    <row r="662" spans="4:35" s="2" customFormat="1" ht="27" customHeight="1" x14ac:dyDescent="0.3">
      <c r="D662" s="23"/>
      <c r="AH662" s="34"/>
      <c r="AI662" s="34"/>
    </row>
    <row r="663" spans="4:35" s="2" customFormat="1" ht="27" customHeight="1" x14ac:dyDescent="0.3">
      <c r="D663" s="23"/>
      <c r="AH663" s="34"/>
      <c r="AI663" s="34"/>
    </row>
    <row r="664" spans="4:35" s="2" customFormat="1" ht="27" customHeight="1" x14ac:dyDescent="0.3">
      <c r="D664" s="23"/>
      <c r="AH664" s="34"/>
      <c r="AI664" s="34"/>
    </row>
    <row r="665" spans="4:35" s="2" customFormat="1" ht="27" customHeight="1" x14ac:dyDescent="0.3">
      <c r="D665" s="23"/>
      <c r="AH665" s="34"/>
      <c r="AI665" s="34"/>
    </row>
    <row r="666" spans="4:35" s="2" customFormat="1" ht="27" customHeight="1" x14ac:dyDescent="0.3">
      <c r="D666" s="23"/>
      <c r="AH666" s="34"/>
      <c r="AI666" s="34"/>
    </row>
    <row r="667" spans="4:35" s="2" customFormat="1" ht="27" customHeight="1" x14ac:dyDescent="0.3">
      <c r="D667" s="23"/>
      <c r="AH667" s="34"/>
      <c r="AI667" s="34"/>
    </row>
    <row r="668" spans="4:35" s="2" customFormat="1" ht="27" customHeight="1" x14ac:dyDescent="0.3">
      <c r="D668" s="23"/>
      <c r="AH668" s="34"/>
      <c r="AI668" s="34"/>
    </row>
    <row r="669" spans="4:35" s="2" customFormat="1" ht="27" customHeight="1" x14ac:dyDescent="0.3">
      <c r="D669" s="23"/>
      <c r="AH669" s="34"/>
      <c r="AI669" s="34"/>
    </row>
    <row r="670" spans="4:35" s="2" customFormat="1" ht="27" customHeight="1" x14ac:dyDescent="0.3">
      <c r="D670" s="23"/>
      <c r="AH670" s="34"/>
      <c r="AI670" s="34"/>
    </row>
    <row r="671" spans="4:35" s="2" customFormat="1" ht="27" customHeight="1" x14ac:dyDescent="0.3">
      <c r="D671" s="23"/>
      <c r="AH671" s="34"/>
      <c r="AI671" s="34"/>
    </row>
    <row r="672" spans="4:35" s="2" customFormat="1" ht="27" customHeight="1" x14ac:dyDescent="0.3">
      <c r="D672" s="23"/>
      <c r="AH672" s="34"/>
      <c r="AI672" s="34"/>
    </row>
    <row r="673" spans="4:35" s="2" customFormat="1" ht="27" customHeight="1" x14ac:dyDescent="0.3">
      <c r="D673" s="23"/>
      <c r="AH673" s="34"/>
      <c r="AI673" s="34"/>
    </row>
    <row r="674" spans="4:35" s="2" customFormat="1" ht="27" customHeight="1" x14ac:dyDescent="0.3">
      <c r="D674" s="23"/>
      <c r="AH674" s="34"/>
      <c r="AI674" s="34"/>
    </row>
    <row r="675" spans="4:35" s="2" customFormat="1" ht="27" customHeight="1" x14ac:dyDescent="0.3">
      <c r="D675" s="23"/>
      <c r="AH675" s="34"/>
      <c r="AI675" s="34"/>
    </row>
    <row r="676" spans="4:35" s="2" customFormat="1" ht="27" customHeight="1" x14ac:dyDescent="0.3">
      <c r="D676" s="23"/>
      <c r="AH676" s="34"/>
      <c r="AI676" s="34"/>
    </row>
    <row r="677" spans="4:35" s="2" customFormat="1" ht="27" customHeight="1" x14ac:dyDescent="0.3">
      <c r="D677" s="23"/>
      <c r="AH677" s="34"/>
      <c r="AI677" s="34"/>
    </row>
    <row r="678" spans="4:35" s="2" customFormat="1" ht="27" customHeight="1" x14ac:dyDescent="0.3">
      <c r="D678" s="23"/>
      <c r="AH678" s="34"/>
      <c r="AI678" s="34"/>
    </row>
    <row r="679" spans="4:35" s="2" customFormat="1" ht="27" customHeight="1" x14ac:dyDescent="0.3">
      <c r="D679" s="23"/>
      <c r="AH679" s="34"/>
      <c r="AI679" s="34"/>
    </row>
    <row r="680" spans="4:35" s="2" customFormat="1" ht="27" customHeight="1" x14ac:dyDescent="0.3">
      <c r="D680" s="23"/>
      <c r="AH680" s="34"/>
      <c r="AI680" s="34"/>
    </row>
    <row r="681" spans="4:35" s="2" customFormat="1" ht="27" customHeight="1" x14ac:dyDescent="0.3">
      <c r="D681" s="23"/>
      <c r="AH681" s="34"/>
      <c r="AI681" s="34"/>
    </row>
    <row r="682" spans="4:35" s="2" customFormat="1" ht="27" customHeight="1" x14ac:dyDescent="0.3">
      <c r="D682" s="23"/>
      <c r="AH682" s="34"/>
      <c r="AI682" s="34"/>
    </row>
    <row r="683" spans="4:35" s="2" customFormat="1" ht="27" customHeight="1" x14ac:dyDescent="0.3">
      <c r="D683" s="23"/>
      <c r="AH683" s="34"/>
      <c r="AI683" s="34"/>
    </row>
    <row r="684" spans="4:35" s="2" customFormat="1" ht="27" customHeight="1" x14ac:dyDescent="0.3">
      <c r="D684" s="23"/>
      <c r="AH684" s="34"/>
      <c r="AI684" s="34"/>
    </row>
    <row r="685" spans="4:35" s="2" customFormat="1" ht="27" customHeight="1" x14ac:dyDescent="0.3">
      <c r="D685" s="23"/>
      <c r="AH685" s="34"/>
      <c r="AI685" s="34"/>
    </row>
    <row r="686" spans="4:35" s="2" customFormat="1" ht="27" customHeight="1" x14ac:dyDescent="0.3">
      <c r="D686" s="23"/>
      <c r="AH686" s="34"/>
      <c r="AI686" s="34"/>
    </row>
    <row r="687" spans="4:35" s="2" customFormat="1" ht="27" customHeight="1" x14ac:dyDescent="0.3">
      <c r="D687" s="23"/>
      <c r="AH687" s="34"/>
      <c r="AI687" s="34"/>
    </row>
    <row r="688" spans="4:35" s="2" customFormat="1" ht="27" customHeight="1" x14ac:dyDescent="0.3">
      <c r="D688" s="23"/>
      <c r="AH688" s="34"/>
      <c r="AI688" s="34"/>
    </row>
    <row r="689" spans="4:35" s="2" customFormat="1" ht="27" customHeight="1" x14ac:dyDescent="0.3">
      <c r="D689" s="23"/>
      <c r="AH689" s="34"/>
      <c r="AI689" s="34"/>
    </row>
    <row r="690" spans="4:35" s="2" customFormat="1" ht="27" customHeight="1" x14ac:dyDescent="0.3">
      <c r="D690" s="23"/>
      <c r="AH690" s="34"/>
      <c r="AI690" s="34"/>
    </row>
    <row r="691" spans="4:35" s="2" customFormat="1" ht="27" customHeight="1" x14ac:dyDescent="0.3">
      <c r="D691" s="23"/>
      <c r="AH691" s="34"/>
      <c r="AI691" s="34"/>
    </row>
    <row r="692" spans="4:35" s="2" customFormat="1" ht="27" customHeight="1" x14ac:dyDescent="0.3">
      <c r="D692" s="23"/>
      <c r="AH692" s="34"/>
      <c r="AI692" s="34"/>
    </row>
    <row r="693" spans="4:35" s="2" customFormat="1" ht="27" customHeight="1" x14ac:dyDescent="0.3">
      <c r="D693" s="23"/>
      <c r="AH693" s="34"/>
      <c r="AI693" s="34"/>
    </row>
    <row r="694" spans="4:35" s="2" customFormat="1" ht="27" customHeight="1" x14ac:dyDescent="0.3">
      <c r="D694" s="23"/>
      <c r="AH694" s="34"/>
      <c r="AI694" s="34"/>
    </row>
    <row r="695" spans="4:35" s="2" customFormat="1" ht="27" customHeight="1" x14ac:dyDescent="0.3">
      <c r="D695" s="23"/>
      <c r="AH695" s="34"/>
      <c r="AI695" s="34"/>
    </row>
    <row r="696" spans="4:35" s="2" customFormat="1" ht="27" customHeight="1" x14ac:dyDescent="0.3">
      <c r="D696" s="23"/>
      <c r="AH696" s="34"/>
      <c r="AI696" s="34"/>
    </row>
    <row r="697" spans="4:35" s="2" customFormat="1" ht="27" customHeight="1" x14ac:dyDescent="0.3">
      <c r="D697" s="23"/>
      <c r="AH697" s="34"/>
      <c r="AI697" s="34"/>
    </row>
    <row r="698" spans="4:35" s="2" customFormat="1" ht="27" customHeight="1" x14ac:dyDescent="0.3">
      <c r="D698" s="23"/>
      <c r="AH698" s="34"/>
      <c r="AI698" s="34"/>
    </row>
    <row r="699" spans="4:35" s="2" customFormat="1" ht="27" customHeight="1" x14ac:dyDescent="0.3">
      <c r="D699" s="23"/>
      <c r="AH699" s="34"/>
      <c r="AI699" s="34"/>
    </row>
    <row r="700" spans="4:35" s="2" customFormat="1" ht="27" customHeight="1" x14ac:dyDescent="0.3">
      <c r="D700" s="23"/>
      <c r="AH700" s="34"/>
      <c r="AI700" s="34"/>
    </row>
    <row r="701" spans="4:35" s="2" customFormat="1" ht="27" customHeight="1" x14ac:dyDescent="0.3">
      <c r="D701" s="23"/>
      <c r="AH701" s="34"/>
      <c r="AI701" s="34"/>
    </row>
    <row r="702" spans="4:35" s="2" customFormat="1" ht="27" customHeight="1" x14ac:dyDescent="0.3">
      <c r="D702" s="23"/>
      <c r="AH702" s="34"/>
      <c r="AI702" s="34"/>
    </row>
    <row r="703" spans="4:35" s="2" customFormat="1" ht="27" customHeight="1" x14ac:dyDescent="0.3">
      <c r="D703" s="23"/>
      <c r="AH703" s="34"/>
      <c r="AI703" s="34"/>
    </row>
    <row r="704" spans="4:35" s="2" customFormat="1" ht="27" customHeight="1" x14ac:dyDescent="0.3">
      <c r="D704" s="23"/>
      <c r="AH704" s="34"/>
      <c r="AI704" s="34"/>
    </row>
    <row r="705" spans="4:35" s="2" customFormat="1" ht="27" customHeight="1" x14ac:dyDescent="0.3">
      <c r="D705" s="23"/>
      <c r="AH705" s="34"/>
      <c r="AI705" s="34"/>
    </row>
    <row r="706" spans="4:35" s="2" customFormat="1" ht="27" customHeight="1" x14ac:dyDescent="0.3">
      <c r="D706" s="23"/>
      <c r="AH706" s="34"/>
      <c r="AI706" s="34"/>
    </row>
    <row r="707" spans="4:35" s="2" customFormat="1" ht="27" customHeight="1" x14ac:dyDescent="0.3">
      <c r="D707" s="23"/>
      <c r="AH707" s="34"/>
      <c r="AI707" s="34"/>
    </row>
    <row r="708" spans="4:35" s="2" customFormat="1" ht="27" customHeight="1" x14ac:dyDescent="0.3">
      <c r="D708" s="23"/>
      <c r="AH708" s="34"/>
      <c r="AI708" s="34"/>
    </row>
    <row r="709" spans="4:35" s="2" customFormat="1" ht="27" customHeight="1" x14ac:dyDescent="0.3">
      <c r="D709" s="23"/>
      <c r="AH709" s="34"/>
      <c r="AI709" s="34"/>
    </row>
    <row r="710" spans="4:35" s="2" customFormat="1" ht="27" customHeight="1" x14ac:dyDescent="0.3">
      <c r="D710" s="23"/>
      <c r="AH710" s="34"/>
      <c r="AI710" s="34"/>
    </row>
    <row r="711" spans="4:35" s="2" customFormat="1" ht="27" customHeight="1" x14ac:dyDescent="0.3">
      <c r="D711" s="23"/>
      <c r="AH711" s="34"/>
      <c r="AI711" s="34"/>
    </row>
    <row r="712" spans="4:35" s="2" customFormat="1" ht="27" customHeight="1" x14ac:dyDescent="0.3">
      <c r="D712" s="23"/>
      <c r="AH712" s="34"/>
      <c r="AI712" s="34"/>
    </row>
    <row r="713" spans="4:35" s="2" customFormat="1" ht="27" customHeight="1" x14ac:dyDescent="0.3">
      <c r="D713" s="23"/>
      <c r="AH713" s="34"/>
      <c r="AI713" s="34"/>
    </row>
    <row r="714" spans="4:35" s="2" customFormat="1" ht="27" customHeight="1" x14ac:dyDescent="0.3">
      <c r="D714" s="23"/>
      <c r="AH714" s="34"/>
      <c r="AI714" s="34"/>
    </row>
    <row r="715" spans="4:35" s="2" customFormat="1" ht="27" customHeight="1" x14ac:dyDescent="0.3">
      <c r="D715" s="23"/>
      <c r="AH715" s="34"/>
      <c r="AI715" s="34"/>
    </row>
    <row r="716" spans="4:35" s="2" customFormat="1" ht="27" customHeight="1" x14ac:dyDescent="0.3">
      <c r="D716" s="23"/>
      <c r="AH716" s="34"/>
      <c r="AI716" s="34"/>
    </row>
    <row r="717" spans="4:35" s="2" customFormat="1" ht="27" customHeight="1" x14ac:dyDescent="0.3">
      <c r="D717" s="23"/>
      <c r="AH717" s="34"/>
      <c r="AI717" s="34"/>
    </row>
    <row r="718" spans="4:35" s="2" customFormat="1" ht="27" customHeight="1" x14ac:dyDescent="0.3">
      <c r="D718" s="23"/>
      <c r="AH718" s="34"/>
      <c r="AI718" s="34"/>
    </row>
    <row r="719" spans="4:35" s="2" customFormat="1" ht="27" customHeight="1" x14ac:dyDescent="0.3">
      <c r="D719" s="23"/>
      <c r="AH719" s="34"/>
      <c r="AI719" s="34"/>
    </row>
    <row r="720" spans="4:35" s="2" customFormat="1" ht="27" customHeight="1" x14ac:dyDescent="0.3">
      <c r="D720" s="23"/>
      <c r="AH720" s="34"/>
      <c r="AI720" s="34"/>
    </row>
    <row r="721" spans="4:35" s="2" customFormat="1" ht="27" customHeight="1" x14ac:dyDescent="0.3">
      <c r="D721" s="23"/>
      <c r="AH721" s="34"/>
      <c r="AI721" s="34"/>
    </row>
    <row r="722" spans="4:35" s="2" customFormat="1" ht="27" customHeight="1" x14ac:dyDescent="0.3">
      <c r="D722" s="23"/>
      <c r="AH722" s="34"/>
      <c r="AI722" s="34"/>
    </row>
    <row r="723" spans="4:35" s="2" customFormat="1" ht="27" customHeight="1" x14ac:dyDescent="0.3">
      <c r="D723" s="23"/>
      <c r="AH723" s="34"/>
      <c r="AI723" s="34"/>
    </row>
    <row r="724" spans="4:35" s="2" customFormat="1" ht="27" customHeight="1" x14ac:dyDescent="0.3">
      <c r="D724" s="23"/>
      <c r="AH724" s="34"/>
      <c r="AI724" s="34"/>
    </row>
    <row r="725" spans="4:35" s="2" customFormat="1" ht="27" customHeight="1" x14ac:dyDescent="0.3">
      <c r="D725" s="23"/>
      <c r="AH725" s="34"/>
      <c r="AI725" s="34"/>
    </row>
    <row r="726" spans="4:35" s="2" customFormat="1" ht="27" customHeight="1" x14ac:dyDescent="0.3">
      <c r="D726" s="23"/>
      <c r="AH726" s="34"/>
      <c r="AI726" s="34"/>
    </row>
    <row r="727" spans="4:35" s="2" customFormat="1" ht="27" customHeight="1" x14ac:dyDescent="0.3">
      <c r="D727" s="23"/>
      <c r="AH727" s="34"/>
      <c r="AI727" s="34"/>
    </row>
    <row r="728" spans="4:35" s="2" customFormat="1" ht="27" customHeight="1" x14ac:dyDescent="0.3">
      <c r="D728" s="23"/>
      <c r="AH728" s="34"/>
      <c r="AI728" s="34"/>
    </row>
    <row r="729" spans="4:35" s="2" customFormat="1" ht="27" customHeight="1" x14ac:dyDescent="0.3">
      <c r="D729" s="23"/>
      <c r="AH729" s="34"/>
      <c r="AI729" s="34"/>
    </row>
    <row r="730" spans="4:35" s="2" customFormat="1" ht="27" customHeight="1" x14ac:dyDescent="0.3">
      <c r="D730" s="23"/>
      <c r="AH730" s="34"/>
      <c r="AI730" s="34"/>
    </row>
    <row r="731" spans="4:35" s="2" customFormat="1" ht="27" customHeight="1" x14ac:dyDescent="0.3">
      <c r="D731" s="23"/>
      <c r="AH731" s="34"/>
      <c r="AI731" s="34"/>
    </row>
    <row r="732" spans="4:35" s="2" customFormat="1" ht="27" customHeight="1" x14ac:dyDescent="0.3">
      <c r="D732" s="23"/>
      <c r="AH732" s="34"/>
      <c r="AI732" s="34"/>
    </row>
    <row r="733" spans="4:35" s="2" customFormat="1" ht="27" customHeight="1" x14ac:dyDescent="0.3">
      <c r="D733" s="23"/>
      <c r="AH733" s="34"/>
      <c r="AI733" s="34"/>
    </row>
    <row r="734" spans="4:35" s="2" customFormat="1" ht="27" customHeight="1" x14ac:dyDescent="0.3">
      <c r="D734" s="23"/>
      <c r="AH734" s="34"/>
      <c r="AI734" s="34"/>
    </row>
    <row r="735" spans="4:35" s="2" customFormat="1" ht="27" customHeight="1" x14ac:dyDescent="0.3">
      <c r="D735" s="23"/>
      <c r="AH735" s="34"/>
      <c r="AI735" s="34"/>
    </row>
    <row r="736" spans="4:35" s="2" customFormat="1" ht="27" customHeight="1" x14ac:dyDescent="0.3">
      <c r="D736" s="23"/>
      <c r="AH736" s="34"/>
      <c r="AI736" s="34"/>
    </row>
    <row r="737" spans="4:35" s="2" customFormat="1" ht="27" customHeight="1" x14ac:dyDescent="0.3">
      <c r="D737" s="23"/>
      <c r="AH737" s="34"/>
      <c r="AI737" s="34"/>
    </row>
    <row r="738" spans="4:35" s="2" customFormat="1" ht="27" customHeight="1" x14ac:dyDescent="0.3">
      <c r="D738" s="23"/>
      <c r="AH738" s="34"/>
      <c r="AI738" s="34"/>
    </row>
    <row r="739" spans="4:35" s="2" customFormat="1" ht="27" customHeight="1" x14ac:dyDescent="0.3">
      <c r="D739" s="23"/>
      <c r="AH739" s="34"/>
      <c r="AI739" s="34"/>
    </row>
    <row r="740" spans="4:35" s="2" customFormat="1" ht="27" customHeight="1" x14ac:dyDescent="0.3">
      <c r="D740" s="23"/>
      <c r="AH740" s="34"/>
      <c r="AI740" s="34"/>
    </row>
    <row r="741" spans="4:35" s="2" customFormat="1" ht="27" customHeight="1" x14ac:dyDescent="0.3">
      <c r="D741" s="23"/>
      <c r="AH741" s="34"/>
      <c r="AI741" s="34"/>
    </row>
    <row r="742" spans="4:35" s="2" customFormat="1" ht="27" customHeight="1" x14ac:dyDescent="0.3">
      <c r="D742" s="23"/>
      <c r="AH742" s="34"/>
      <c r="AI742" s="34"/>
    </row>
    <row r="743" spans="4:35" s="2" customFormat="1" ht="27" customHeight="1" x14ac:dyDescent="0.3">
      <c r="D743" s="23"/>
      <c r="AH743" s="34"/>
      <c r="AI743" s="34"/>
    </row>
    <row r="744" spans="4:35" s="2" customFormat="1" ht="27" customHeight="1" x14ac:dyDescent="0.3">
      <c r="D744" s="23"/>
      <c r="AH744" s="34"/>
      <c r="AI744" s="34"/>
    </row>
    <row r="745" spans="4:35" s="2" customFormat="1" ht="27" customHeight="1" x14ac:dyDescent="0.3">
      <c r="D745" s="23"/>
      <c r="AH745" s="34"/>
      <c r="AI745" s="34"/>
    </row>
    <row r="746" spans="4:35" s="2" customFormat="1" ht="27" customHeight="1" x14ac:dyDescent="0.3">
      <c r="D746" s="23"/>
      <c r="AH746" s="34"/>
      <c r="AI746" s="34"/>
    </row>
    <row r="747" spans="4:35" s="2" customFormat="1" ht="27" customHeight="1" x14ac:dyDescent="0.3">
      <c r="D747" s="23"/>
      <c r="AH747" s="34"/>
      <c r="AI747" s="34"/>
    </row>
    <row r="748" spans="4:35" s="2" customFormat="1" ht="27" customHeight="1" x14ac:dyDescent="0.3">
      <c r="D748" s="23"/>
      <c r="AH748" s="34"/>
      <c r="AI748" s="34"/>
    </row>
    <row r="749" spans="4:35" s="2" customFormat="1" ht="27" customHeight="1" x14ac:dyDescent="0.3">
      <c r="D749" s="23"/>
      <c r="AH749" s="34"/>
      <c r="AI749" s="34"/>
    </row>
    <row r="750" spans="4:35" s="2" customFormat="1" ht="27" customHeight="1" x14ac:dyDescent="0.3">
      <c r="D750" s="23"/>
      <c r="AH750" s="34"/>
      <c r="AI750" s="34"/>
    </row>
    <row r="751" spans="4:35" s="2" customFormat="1" ht="27" customHeight="1" x14ac:dyDescent="0.3">
      <c r="D751" s="23"/>
      <c r="AH751" s="34"/>
      <c r="AI751" s="34"/>
    </row>
    <row r="752" spans="4:35" s="2" customFormat="1" ht="27" customHeight="1" x14ac:dyDescent="0.3">
      <c r="D752" s="23"/>
      <c r="AH752" s="34"/>
      <c r="AI752" s="34"/>
    </row>
    <row r="753" spans="4:35" s="2" customFormat="1" ht="27" customHeight="1" x14ac:dyDescent="0.3">
      <c r="D753" s="23"/>
      <c r="AH753" s="34"/>
      <c r="AI753" s="34"/>
    </row>
    <row r="754" spans="4:35" s="2" customFormat="1" ht="27" customHeight="1" x14ac:dyDescent="0.3">
      <c r="D754" s="23"/>
      <c r="AH754" s="34"/>
      <c r="AI754" s="34"/>
    </row>
    <row r="755" spans="4:35" s="2" customFormat="1" ht="27" customHeight="1" x14ac:dyDescent="0.3">
      <c r="D755" s="23"/>
      <c r="AH755" s="34"/>
      <c r="AI755" s="34"/>
    </row>
    <row r="756" spans="4:35" s="2" customFormat="1" ht="27" customHeight="1" x14ac:dyDescent="0.3">
      <c r="D756" s="23"/>
      <c r="AH756" s="34"/>
      <c r="AI756" s="34"/>
    </row>
    <row r="757" spans="4:35" s="2" customFormat="1" ht="27" customHeight="1" x14ac:dyDescent="0.3">
      <c r="D757" s="23"/>
      <c r="AH757" s="34"/>
      <c r="AI757" s="34"/>
    </row>
    <row r="758" spans="4:35" s="2" customFormat="1" ht="27" customHeight="1" x14ac:dyDescent="0.3">
      <c r="D758" s="23"/>
      <c r="AH758" s="34"/>
      <c r="AI758" s="34"/>
    </row>
    <row r="759" spans="4:35" s="2" customFormat="1" ht="27" customHeight="1" x14ac:dyDescent="0.3">
      <c r="D759" s="23"/>
      <c r="AH759" s="34"/>
      <c r="AI759" s="34"/>
    </row>
    <row r="760" spans="4:35" s="2" customFormat="1" ht="27" customHeight="1" x14ac:dyDescent="0.3">
      <c r="D760" s="23"/>
      <c r="AH760" s="34"/>
      <c r="AI760" s="34"/>
    </row>
    <row r="761" spans="4:35" s="2" customFormat="1" ht="27" customHeight="1" x14ac:dyDescent="0.3">
      <c r="D761" s="23"/>
      <c r="AH761" s="34"/>
      <c r="AI761" s="34"/>
    </row>
    <row r="762" spans="4:35" s="2" customFormat="1" ht="27" customHeight="1" x14ac:dyDescent="0.3">
      <c r="D762" s="23"/>
      <c r="AH762" s="34"/>
      <c r="AI762" s="34"/>
    </row>
    <row r="763" spans="4:35" s="2" customFormat="1" ht="27" customHeight="1" x14ac:dyDescent="0.3">
      <c r="D763" s="23"/>
      <c r="AH763" s="34"/>
      <c r="AI763" s="34"/>
    </row>
    <row r="764" spans="4:35" s="2" customFormat="1" ht="27" customHeight="1" x14ac:dyDescent="0.3">
      <c r="D764" s="23"/>
      <c r="AH764" s="34"/>
      <c r="AI764" s="34"/>
    </row>
    <row r="765" spans="4:35" s="2" customFormat="1" ht="27" customHeight="1" x14ac:dyDescent="0.3">
      <c r="D765" s="23"/>
      <c r="AH765" s="34"/>
      <c r="AI765" s="34"/>
    </row>
    <row r="766" spans="4:35" s="2" customFormat="1" ht="27" customHeight="1" x14ac:dyDescent="0.3">
      <c r="D766" s="23"/>
      <c r="AH766" s="34"/>
      <c r="AI766" s="34"/>
    </row>
    <row r="767" spans="4:35" s="2" customFormat="1" ht="27" customHeight="1" x14ac:dyDescent="0.3">
      <c r="D767" s="23"/>
      <c r="AH767" s="34"/>
      <c r="AI767" s="34"/>
    </row>
    <row r="768" spans="4:35" s="2" customFormat="1" ht="27" customHeight="1" x14ac:dyDescent="0.3">
      <c r="D768" s="23"/>
      <c r="AH768" s="34"/>
      <c r="AI768" s="34"/>
    </row>
    <row r="769" spans="4:35" s="2" customFormat="1" ht="27" customHeight="1" x14ac:dyDescent="0.3">
      <c r="D769" s="23"/>
      <c r="AH769" s="34"/>
      <c r="AI769" s="34"/>
    </row>
    <row r="770" spans="4:35" s="2" customFormat="1" ht="27" customHeight="1" x14ac:dyDescent="0.3">
      <c r="D770" s="23"/>
      <c r="AH770" s="34"/>
      <c r="AI770" s="34"/>
    </row>
    <row r="771" spans="4:35" s="2" customFormat="1" ht="27" customHeight="1" x14ac:dyDescent="0.3">
      <c r="D771" s="23"/>
      <c r="AH771" s="34"/>
      <c r="AI771" s="34"/>
    </row>
    <row r="772" spans="4:35" s="2" customFormat="1" ht="27" customHeight="1" x14ac:dyDescent="0.3">
      <c r="D772" s="23"/>
      <c r="AH772" s="34"/>
      <c r="AI772" s="34"/>
    </row>
    <row r="773" spans="4:35" s="2" customFormat="1" ht="27" customHeight="1" x14ac:dyDescent="0.3">
      <c r="D773" s="23"/>
      <c r="AH773" s="34"/>
      <c r="AI773" s="34"/>
    </row>
    <row r="774" spans="4:35" s="2" customFormat="1" ht="27" customHeight="1" x14ac:dyDescent="0.3">
      <c r="D774" s="23"/>
      <c r="AH774" s="34"/>
      <c r="AI774" s="34"/>
    </row>
    <row r="775" spans="4:35" s="2" customFormat="1" ht="27" customHeight="1" x14ac:dyDescent="0.3">
      <c r="D775" s="23"/>
      <c r="AH775" s="34"/>
      <c r="AI775" s="34"/>
    </row>
    <row r="776" spans="4:35" s="2" customFormat="1" ht="27" customHeight="1" x14ac:dyDescent="0.3">
      <c r="D776" s="23"/>
      <c r="AH776" s="34"/>
      <c r="AI776" s="34"/>
    </row>
    <row r="777" spans="4:35" s="2" customFormat="1" ht="27" customHeight="1" x14ac:dyDescent="0.3">
      <c r="D777" s="23"/>
      <c r="AH777" s="34"/>
      <c r="AI777" s="34"/>
    </row>
    <row r="778" spans="4:35" s="2" customFormat="1" ht="27" customHeight="1" x14ac:dyDescent="0.3">
      <c r="D778" s="23"/>
      <c r="AH778" s="34"/>
      <c r="AI778" s="34"/>
    </row>
    <row r="779" spans="4:35" s="2" customFormat="1" ht="27" customHeight="1" x14ac:dyDescent="0.3">
      <c r="D779" s="23"/>
      <c r="AH779" s="34"/>
      <c r="AI779" s="34"/>
    </row>
    <row r="780" spans="4:35" s="2" customFormat="1" ht="27" customHeight="1" x14ac:dyDescent="0.3">
      <c r="D780" s="23"/>
      <c r="AH780" s="34"/>
      <c r="AI780" s="34"/>
    </row>
    <row r="781" spans="4:35" s="2" customFormat="1" ht="27" customHeight="1" x14ac:dyDescent="0.3">
      <c r="D781" s="23"/>
      <c r="AH781" s="34"/>
      <c r="AI781" s="34"/>
    </row>
    <row r="782" spans="4:35" s="2" customFormat="1" ht="27" customHeight="1" x14ac:dyDescent="0.3">
      <c r="D782" s="23"/>
      <c r="AH782" s="34"/>
      <c r="AI782" s="34"/>
    </row>
    <row r="783" spans="4:35" s="2" customFormat="1" ht="27" customHeight="1" x14ac:dyDescent="0.3">
      <c r="D783" s="23"/>
      <c r="AH783" s="34"/>
      <c r="AI783" s="34"/>
    </row>
    <row r="784" spans="4:35" s="2" customFormat="1" ht="27" customHeight="1" x14ac:dyDescent="0.3">
      <c r="D784" s="23"/>
      <c r="AH784" s="34"/>
      <c r="AI784" s="34"/>
    </row>
    <row r="785" spans="4:35" s="2" customFormat="1" ht="27" customHeight="1" x14ac:dyDescent="0.3">
      <c r="D785" s="23"/>
      <c r="AH785" s="34"/>
      <c r="AI785" s="34"/>
    </row>
    <row r="786" spans="4:35" s="2" customFormat="1" ht="27" customHeight="1" x14ac:dyDescent="0.3">
      <c r="D786" s="23"/>
      <c r="AH786" s="34"/>
      <c r="AI786" s="34"/>
    </row>
    <row r="787" spans="4:35" s="2" customFormat="1" ht="27" customHeight="1" x14ac:dyDescent="0.3">
      <c r="D787" s="23"/>
      <c r="AH787" s="34"/>
      <c r="AI787" s="34"/>
    </row>
    <row r="788" spans="4:35" s="2" customFormat="1" ht="27" customHeight="1" x14ac:dyDescent="0.3">
      <c r="D788" s="23"/>
      <c r="AH788" s="34"/>
      <c r="AI788" s="34"/>
    </row>
    <row r="789" spans="4:35" s="2" customFormat="1" ht="27" customHeight="1" x14ac:dyDescent="0.3">
      <c r="D789" s="23"/>
      <c r="AH789" s="34"/>
      <c r="AI789" s="34"/>
    </row>
    <row r="790" spans="4:35" s="2" customFormat="1" ht="27" customHeight="1" x14ac:dyDescent="0.3">
      <c r="D790" s="23"/>
      <c r="AH790" s="34"/>
      <c r="AI790" s="34"/>
    </row>
    <row r="791" spans="4:35" s="2" customFormat="1" ht="27" customHeight="1" x14ac:dyDescent="0.3">
      <c r="D791" s="23"/>
      <c r="AH791" s="34"/>
      <c r="AI791" s="34"/>
    </row>
    <row r="792" spans="4:35" s="2" customFormat="1" ht="27" customHeight="1" x14ac:dyDescent="0.3">
      <c r="D792" s="23"/>
      <c r="AH792" s="34"/>
      <c r="AI792" s="34"/>
    </row>
    <row r="793" spans="4:35" s="2" customFormat="1" ht="27" customHeight="1" x14ac:dyDescent="0.3">
      <c r="D793" s="23"/>
      <c r="AH793" s="34"/>
      <c r="AI793" s="34"/>
    </row>
    <row r="794" spans="4:35" s="2" customFormat="1" ht="27" customHeight="1" x14ac:dyDescent="0.3">
      <c r="D794" s="23"/>
      <c r="AH794" s="34"/>
      <c r="AI794" s="34"/>
    </row>
    <row r="795" spans="4:35" s="2" customFormat="1" ht="27" customHeight="1" x14ac:dyDescent="0.3">
      <c r="D795" s="23"/>
      <c r="AH795" s="34"/>
      <c r="AI795" s="34"/>
    </row>
    <row r="796" spans="4:35" s="2" customFormat="1" ht="27" customHeight="1" x14ac:dyDescent="0.3">
      <c r="D796" s="23"/>
      <c r="AH796" s="34"/>
      <c r="AI796" s="34"/>
    </row>
    <row r="797" spans="4:35" s="2" customFormat="1" ht="27" customHeight="1" x14ac:dyDescent="0.3">
      <c r="D797" s="23"/>
      <c r="AH797" s="34"/>
      <c r="AI797" s="34"/>
    </row>
    <row r="798" spans="4:35" s="2" customFormat="1" ht="27" customHeight="1" x14ac:dyDescent="0.3">
      <c r="D798" s="23"/>
      <c r="AH798" s="34"/>
      <c r="AI798" s="34"/>
    </row>
    <row r="799" spans="4:35" s="2" customFormat="1" ht="27" customHeight="1" x14ac:dyDescent="0.3">
      <c r="D799" s="23"/>
      <c r="AH799" s="34"/>
      <c r="AI799" s="34"/>
    </row>
    <row r="800" spans="4:35" s="2" customFormat="1" ht="27" customHeight="1" x14ac:dyDescent="0.3">
      <c r="D800" s="23"/>
      <c r="AH800" s="34"/>
      <c r="AI800" s="34"/>
    </row>
    <row r="801" spans="4:35" s="2" customFormat="1" ht="27" customHeight="1" x14ac:dyDescent="0.3">
      <c r="D801" s="23"/>
      <c r="AH801" s="34"/>
      <c r="AI801" s="34"/>
    </row>
    <row r="802" spans="4:35" s="2" customFormat="1" ht="27" customHeight="1" x14ac:dyDescent="0.3">
      <c r="D802" s="23"/>
      <c r="AH802" s="34"/>
      <c r="AI802" s="34"/>
    </row>
    <row r="803" spans="4:35" s="2" customFormat="1" ht="27" customHeight="1" x14ac:dyDescent="0.3">
      <c r="D803" s="23"/>
      <c r="AH803" s="34"/>
      <c r="AI803" s="34"/>
    </row>
    <row r="804" spans="4:35" s="2" customFormat="1" ht="27" customHeight="1" x14ac:dyDescent="0.3">
      <c r="D804" s="23"/>
      <c r="AH804" s="34"/>
      <c r="AI804" s="34"/>
    </row>
    <row r="805" spans="4:35" s="2" customFormat="1" ht="27" customHeight="1" x14ac:dyDescent="0.3">
      <c r="D805" s="23"/>
      <c r="AH805" s="34"/>
      <c r="AI805" s="34"/>
    </row>
    <row r="806" spans="4:35" s="2" customFormat="1" ht="27" customHeight="1" x14ac:dyDescent="0.3">
      <c r="D806" s="23"/>
      <c r="AH806" s="34"/>
      <c r="AI806" s="34"/>
    </row>
    <row r="807" spans="4:35" s="2" customFormat="1" ht="27" customHeight="1" x14ac:dyDescent="0.3">
      <c r="D807" s="23"/>
      <c r="AH807" s="34"/>
      <c r="AI807" s="34"/>
    </row>
    <row r="808" spans="4:35" s="2" customFormat="1" ht="27" customHeight="1" x14ac:dyDescent="0.3">
      <c r="D808" s="23"/>
      <c r="AH808" s="34"/>
      <c r="AI808" s="34"/>
    </row>
    <row r="809" spans="4:35" s="2" customFormat="1" ht="27" customHeight="1" x14ac:dyDescent="0.3">
      <c r="D809" s="23"/>
      <c r="AH809" s="34"/>
      <c r="AI809" s="34"/>
    </row>
    <row r="810" spans="4:35" s="2" customFormat="1" ht="27" customHeight="1" x14ac:dyDescent="0.3">
      <c r="D810" s="23"/>
      <c r="AH810" s="34"/>
      <c r="AI810" s="34"/>
    </row>
    <row r="811" spans="4:35" s="2" customFormat="1" ht="27" customHeight="1" x14ac:dyDescent="0.3">
      <c r="D811" s="23"/>
      <c r="AH811" s="34"/>
      <c r="AI811" s="34"/>
    </row>
    <row r="812" spans="4:35" s="2" customFormat="1" ht="27" customHeight="1" x14ac:dyDescent="0.3">
      <c r="D812" s="23"/>
      <c r="AH812" s="34"/>
      <c r="AI812" s="34"/>
    </row>
    <row r="813" spans="4:35" s="2" customFormat="1" ht="27" customHeight="1" x14ac:dyDescent="0.3">
      <c r="D813" s="23"/>
      <c r="AH813" s="34"/>
      <c r="AI813" s="34"/>
    </row>
    <row r="814" spans="4:35" s="2" customFormat="1" ht="27" customHeight="1" x14ac:dyDescent="0.3">
      <c r="D814" s="23"/>
      <c r="AH814" s="34"/>
      <c r="AI814" s="34"/>
    </row>
    <row r="815" spans="4:35" s="2" customFormat="1" ht="27" customHeight="1" x14ac:dyDescent="0.3">
      <c r="D815" s="23"/>
      <c r="AH815" s="34"/>
      <c r="AI815" s="34"/>
    </row>
    <row r="816" spans="4:35" s="2" customFormat="1" ht="27" customHeight="1" x14ac:dyDescent="0.3">
      <c r="D816" s="23"/>
      <c r="AH816" s="34"/>
      <c r="AI816" s="34"/>
    </row>
    <row r="817" spans="4:35" s="2" customFormat="1" ht="27" customHeight="1" x14ac:dyDescent="0.3">
      <c r="D817" s="23"/>
      <c r="AH817" s="34"/>
      <c r="AI817" s="34"/>
    </row>
    <row r="818" spans="4:35" s="2" customFormat="1" ht="27" customHeight="1" x14ac:dyDescent="0.3">
      <c r="D818" s="23"/>
      <c r="AH818" s="34"/>
      <c r="AI818" s="34"/>
    </row>
    <row r="819" spans="4:35" s="2" customFormat="1" ht="27" customHeight="1" x14ac:dyDescent="0.3">
      <c r="D819" s="23"/>
      <c r="AH819" s="34"/>
      <c r="AI819" s="34"/>
    </row>
    <row r="820" spans="4:35" s="2" customFormat="1" ht="27" customHeight="1" x14ac:dyDescent="0.3">
      <c r="D820" s="23"/>
      <c r="AH820" s="34"/>
      <c r="AI820" s="34"/>
    </row>
    <row r="821" spans="4:35" s="2" customFormat="1" ht="27" customHeight="1" x14ac:dyDescent="0.3">
      <c r="D821" s="23"/>
      <c r="AH821" s="34"/>
      <c r="AI821" s="34"/>
    </row>
    <row r="822" spans="4:35" s="2" customFormat="1" ht="27" customHeight="1" x14ac:dyDescent="0.3">
      <c r="D822" s="23"/>
      <c r="AH822" s="34"/>
      <c r="AI822" s="34"/>
    </row>
    <row r="823" spans="4:35" s="2" customFormat="1" ht="27" customHeight="1" x14ac:dyDescent="0.3">
      <c r="D823" s="23"/>
      <c r="AH823" s="34"/>
      <c r="AI823" s="34"/>
    </row>
    <row r="824" spans="4:35" s="2" customFormat="1" ht="27" customHeight="1" x14ac:dyDescent="0.3">
      <c r="D824" s="23"/>
      <c r="AH824" s="34"/>
      <c r="AI824" s="34"/>
    </row>
    <row r="825" spans="4:35" s="2" customFormat="1" ht="27" customHeight="1" x14ac:dyDescent="0.3">
      <c r="D825" s="23"/>
      <c r="AH825" s="34"/>
      <c r="AI825" s="34"/>
    </row>
    <row r="826" spans="4:35" s="2" customFormat="1" ht="27" customHeight="1" x14ac:dyDescent="0.3">
      <c r="D826" s="23"/>
      <c r="AH826" s="34"/>
      <c r="AI826" s="34"/>
    </row>
    <row r="827" spans="4:35" s="2" customFormat="1" ht="27" customHeight="1" x14ac:dyDescent="0.3">
      <c r="D827" s="23"/>
      <c r="AH827" s="34"/>
      <c r="AI827" s="34"/>
    </row>
    <row r="828" spans="4:35" s="2" customFormat="1" ht="27" customHeight="1" x14ac:dyDescent="0.3">
      <c r="D828" s="23"/>
      <c r="AH828" s="34"/>
      <c r="AI828" s="34"/>
    </row>
    <row r="829" spans="4:35" s="2" customFormat="1" ht="27" customHeight="1" x14ac:dyDescent="0.3">
      <c r="D829" s="23"/>
      <c r="AH829" s="34"/>
      <c r="AI829" s="34"/>
    </row>
    <row r="830" spans="4:35" s="2" customFormat="1" ht="27" customHeight="1" x14ac:dyDescent="0.3">
      <c r="D830" s="23"/>
      <c r="AH830" s="34"/>
      <c r="AI830" s="34"/>
    </row>
    <row r="831" spans="4:35" s="2" customFormat="1" ht="27" customHeight="1" x14ac:dyDescent="0.3">
      <c r="D831" s="23"/>
      <c r="AH831" s="34"/>
      <c r="AI831" s="34"/>
    </row>
    <row r="832" spans="4:35" s="2" customFormat="1" ht="27" customHeight="1" x14ac:dyDescent="0.3">
      <c r="D832" s="23"/>
      <c r="AH832" s="34"/>
      <c r="AI832" s="34"/>
    </row>
    <row r="833" spans="4:35" s="2" customFormat="1" ht="27" customHeight="1" x14ac:dyDescent="0.3">
      <c r="D833" s="23"/>
      <c r="AH833" s="34"/>
      <c r="AI833" s="34"/>
    </row>
    <row r="834" spans="4:35" s="2" customFormat="1" ht="27" customHeight="1" x14ac:dyDescent="0.3">
      <c r="D834" s="23"/>
      <c r="AH834" s="34"/>
      <c r="AI834" s="34"/>
    </row>
    <row r="835" spans="4:35" s="2" customFormat="1" ht="27" customHeight="1" x14ac:dyDescent="0.3">
      <c r="D835" s="23"/>
      <c r="AH835" s="34"/>
      <c r="AI835" s="34"/>
    </row>
    <row r="836" spans="4:35" s="2" customFormat="1" ht="27" customHeight="1" x14ac:dyDescent="0.3">
      <c r="D836" s="23"/>
      <c r="AH836" s="34"/>
      <c r="AI836" s="34"/>
    </row>
    <row r="837" spans="4:35" s="2" customFormat="1" ht="27" customHeight="1" x14ac:dyDescent="0.3">
      <c r="D837" s="23"/>
      <c r="AH837" s="34"/>
      <c r="AI837" s="34"/>
    </row>
    <row r="838" spans="4:35" s="2" customFormat="1" ht="27" customHeight="1" x14ac:dyDescent="0.3">
      <c r="D838" s="23"/>
      <c r="AH838" s="34"/>
      <c r="AI838" s="34"/>
    </row>
    <row r="839" spans="4:35" s="2" customFormat="1" ht="27" customHeight="1" x14ac:dyDescent="0.3">
      <c r="D839" s="23"/>
      <c r="AH839" s="34"/>
      <c r="AI839" s="34"/>
    </row>
    <row r="840" spans="4:35" s="2" customFormat="1" ht="27" customHeight="1" x14ac:dyDescent="0.3">
      <c r="D840" s="23"/>
      <c r="AH840" s="34"/>
      <c r="AI840" s="34"/>
    </row>
    <row r="841" spans="4:35" s="2" customFormat="1" ht="27" customHeight="1" x14ac:dyDescent="0.3">
      <c r="D841" s="23"/>
      <c r="AH841" s="34"/>
      <c r="AI841" s="34"/>
    </row>
    <row r="842" spans="4:35" s="2" customFormat="1" ht="27" customHeight="1" x14ac:dyDescent="0.3">
      <c r="D842" s="23"/>
      <c r="AH842" s="34"/>
      <c r="AI842" s="34"/>
    </row>
    <row r="843" spans="4:35" s="2" customFormat="1" ht="27" customHeight="1" x14ac:dyDescent="0.3">
      <c r="D843" s="23"/>
      <c r="AH843" s="34"/>
      <c r="AI843" s="34"/>
    </row>
    <row r="844" spans="4:35" s="2" customFormat="1" ht="27" customHeight="1" x14ac:dyDescent="0.3">
      <c r="D844" s="23"/>
      <c r="AH844" s="34"/>
      <c r="AI844" s="34"/>
    </row>
    <row r="845" spans="4:35" s="2" customFormat="1" ht="27" customHeight="1" x14ac:dyDescent="0.3">
      <c r="D845" s="23"/>
      <c r="AH845" s="34"/>
      <c r="AI845" s="34"/>
    </row>
    <row r="846" spans="4:35" s="2" customFormat="1" ht="27" customHeight="1" x14ac:dyDescent="0.3">
      <c r="D846" s="23"/>
      <c r="AH846" s="34"/>
      <c r="AI846" s="34"/>
    </row>
    <row r="847" spans="4:35" s="2" customFormat="1" ht="27" customHeight="1" x14ac:dyDescent="0.3">
      <c r="D847" s="23"/>
      <c r="AH847" s="34"/>
      <c r="AI847" s="34"/>
    </row>
    <row r="848" spans="4:35" s="2" customFormat="1" ht="27" customHeight="1" x14ac:dyDescent="0.3">
      <c r="D848" s="23"/>
      <c r="AH848" s="34"/>
      <c r="AI848" s="34"/>
    </row>
    <row r="849" spans="4:35" s="2" customFormat="1" ht="27" customHeight="1" x14ac:dyDescent="0.3">
      <c r="D849" s="23"/>
      <c r="AH849" s="34"/>
      <c r="AI849" s="34"/>
    </row>
    <row r="850" spans="4:35" s="2" customFormat="1" ht="27" customHeight="1" x14ac:dyDescent="0.3">
      <c r="D850" s="23"/>
      <c r="AH850" s="34"/>
      <c r="AI850" s="34"/>
    </row>
    <row r="851" spans="4:35" s="2" customFormat="1" ht="27" customHeight="1" x14ac:dyDescent="0.3">
      <c r="D851" s="23"/>
      <c r="AH851" s="34"/>
      <c r="AI851" s="34"/>
    </row>
    <row r="852" spans="4:35" s="2" customFormat="1" ht="27" customHeight="1" x14ac:dyDescent="0.3">
      <c r="D852" s="23"/>
      <c r="AH852" s="34"/>
      <c r="AI852" s="34"/>
    </row>
    <row r="853" spans="4:35" s="2" customFormat="1" ht="27" customHeight="1" x14ac:dyDescent="0.3">
      <c r="D853" s="23"/>
      <c r="AH853" s="34"/>
      <c r="AI853" s="34"/>
    </row>
    <row r="854" spans="4:35" s="2" customFormat="1" ht="27" customHeight="1" x14ac:dyDescent="0.3">
      <c r="D854" s="23"/>
      <c r="AH854" s="34"/>
      <c r="AI854" s="34"/>
    </row>
    <row r="855" spans="4:35" s="2" customFormat="1" ht="27" customHeight="1" x14ac:dyDescent="0.3">
      <c r="D855" s="23"/>
      <c r="AH855" s="34"/>
      <c r="AI855" s="34"/>
    </row>
    <row r="856" spans="4:35" s="2" customFormat="1" ht="27" customHeight="1" x14ac:dyDescent="0.3">
      <c r="D856" s="23"/>
      <c r="AH856" s="34"/>
      <c r="AI856" s="34"/>
    </row>
    <row r="857" spans="4:35" s="2" customFormat="1" ht="27" customHeight="1" x14ac:dyDescent="0.3">
      <c r="D857" s="23"/>
      <c r="AH857" s="34"/>
      <c r="AI857" s="34"/>
    </row>
    <row r="858" spans="4:35" s="2" customFormat="1" ht="27" customHeight="1" x14ac:dyDescent="0.3">
      <c r="D858" s="23"/>
      <c r="AH858" s="34"/>
      <c r="AI858" s="34"/>
    </row>
    <row r="859" spans="4:35" s="2" customFormat="1" ht="27" customHeight="1" x14ac:dyDescent="0.3">
      <c r="D859" s="23"/>
      <c r="AH859" s="34"/>
      <c r="AI859" s="34"/>
    </row>
    <row r="860" spans="4:35" s="2" customFormat="1" ht="27" customHeight="1" x14ac:dyDescent="0.3">
      <c r="D860" s="23"/>
      <c r="AH860" s="34"/>
      <c r="AI860" s="34"/>
    </row>
    <row r="861" spans="4:35" s="2" customFormat="1" ht="27" customHeight="1" x14ac:dyDescent="0.3">
      <c r="D861" s="23"/>
      <c r="AH861" s="34"/>
      <c r="AI861" s="34"/>
    </row>
    <row r="862" spans="4:35" s="2" customFormat="1" ht="27" customHeight="1" x14ac:dyDescent="0.3">
      <c r="D862" s="23"/>
      <c r="AH862" s="34"/>
      <c r="AI862" s="34"/>
    </row>
    <row r="863" spans="4:35" s="2" customFormat="1" ht="27" customHeight="1" x14ac:dyDescent="0.3">
      <c r="D863" s="23"/>
      <c r="AH863" s="34"/>
      <c r="AI863" s="34"/>
    </row>
    <row r="864" spans="4:35" s="2" customFormat="1" ht="27" customHeight="1" x14ac:dyDescent="0.3">
      <c r="D864" s="23"/>
      <c r="AH864" s="34"/>
      <c r="AI864" s="34"/>
    </row>
    <row r="865" spans="4:35" s="2" customFormat="1" ht="27" customHeight="1" x14ac:dyDescent="0.3">
      <c r="D865" s="23"/>
      <c r="AH865" s="34"/>
      <c r="AI865" s="34"/>
    </row>
    <row r="866" spans="4:35" s="2" customFormat="1" ht="27" customHeight="1" x14ac:dyDescent="0.3">
      <c r="D866" s="23"/>
      <c r="AH866" s="34"/>
      <c r="AI866" s="34"/>
    </row>
    <row r="867" spans="4:35" s="2" customFormat="1" ht="27" customHeight="1" x14ac:dyDescent="0.3">
      <c r="D867" s="23"/>
      <c r="AH867" s="34"/>
      <c r="AI867" s="34"/>
    </row>
    <row r="868" spans="4:35" s="2" customFormat="1" ht="27" customHeight="1" x14ac:dyDescent="0.3">
      <c r="D868" s="23"/>
      <c r="AH868" s="34"/>
      <c r="AI868" s="34"/>
    </row>
    <row r="869" spans="4:35" s="2" customFormat="1" ht="27" customHeight="1" x14ac:dyDescent="0.3">
      <c r="D869" s="23"/>
      <c r="AH869" s="34"/>
      <c r="AI869" s="34"/>
    </row>
    <row r="870" spans="4:35" s="2" customFormat="1" ht="27" customHeight="1" x14ac:dyDescent="0.3">
      <c r="D870" s="23"/>
      <c r="AH870" s="34"/>
      <c r="AI870" s="34"/>
    </row>
    <row r="871" spans="4:35" s="2" customFormat="1" ht="27" customHeight="1" x14ac:dyDescent="0.3">
      <c r="D871" s="23"/>
      <c r="AH871" s="34"/>
      <c r="AI871" s="34"/>
    </row>
    <row r="872" spans="4:35" s="2" customFormat="1" ht="27" customHeight="1" x14ac:dyDescent="0.3">
      <c r="D872" s="23"/>
      <c r="AH872" s="34"/>
      <c r="AI872" s="34"/>
    </row>
    <row r="873" spans="4:35" s="2" customFormat="1" ht="27" customHeight="1" x14ac:dyDescent="0.3">
      <c r="D873" s="23"/>
      <c r="AH873" s="34"/>
      <c r="AI873" s="34"/>
    </row>
    <row r="874" spans="4:35" s="2" customFormat="1" ht="27" customHeight="1" x14ac:dyDescent="0.3">
      <c r="D874" s="23"/>
      <c r="AH874" s="34"/>
      <c r="AI874" s="34"/>
    </row>
    <row r="875" spans="4:35" s="2" customFormat="1" ht="27" customHeight="1" x14ac:dyDescent="0.3">
      <c r="D875" s="23"/>
      <c r="AH875" s="34"/>
      <c r="AI875" s="34"/>
    </row>
    <row r="876" spans="4:35" s="2" customFormat="1" ht="27" customHeight="1" x14ac:dyDescent="0.3">
      <c r="D876" s="23"/>
      <c r="AH876" s="34"/>
      <c r="AI876" s="34"/>
    </row>
    <row r="877" spans="4:35" s="2" customFormat="1" ht="27" customHeight="1" x14ac:dyDescent="0.3">
      <c r="D877" s="23"/>
      <c r="AH877" s="34"/>
      <c r="AI877" s="34"/>
    </row>
    <row r="878" spans="4:35" s="2" customFormat="1" ht="27" customHeight="1" x14ac:dyDescent="0.3">
      <c r="D878" s="23"/>
      <c r="AH878" s="34"/>
      <c r="AI878" s="34"/>
    </row>
    <row r="879" spans="4:35" s="2" customFormat="1" ht="27" customHeight="1" x14ac:dyDescent="0.3">
      <c r="D879" s="23"/>
      <c r="AH879" s="34"/>
      <c r="AI879" s="34"/>
    </row>
    <row r="880" spans="4:35" s="2" customFormat="1" ht="27" customHeight="1" x14ac:dyDescent="0.3">
      <c r="D880" s="23"/>
      <c r="AH880" s="34"/>
      <c r="AI880" s="34"/>
    </row>
    <row r="881" spans="4:35" s="2" customFormat="1" ht="27" customHeight="1" x14ac:dyDescent="0.3">
      <c r="D881" s="23"/>
      <c r="AH881" s="34"/>
      <c r="AI881" s="34"/>
    </row>
    <row r="882" spans="4:35" s="2" customFormat="1" ht="27" customHeight="1" x14ac:dyDescent="0.3">
      <c r="D882" s="23"/>
      <c r="AH882" s="34"/>
      <c r="AI882" s="34"/>
    </row>
    <row r="883" spans="4:35" s="2" customFormat="1" ht="27" customHeight="1" x14ac:dyDescent="0.3">
      <c r="D883" s="23"/>
      <c r="AH883" s="34"/>
      <c r="AI883" s="34"/>
    </row>
    <row r="884" spans="4:35" s="2" customFormat="1" ht="27" customHeight="1" x14ac:dyDescent="0.3">
      <c r="D884" s="23"/>
      <c r="AH884" s="34"/>
      <c r="AI884" s="34"/>
    </row>
    <row r="885" spans="4:35" s="2" customFormat="1" ht="27" customHeight="1" x14ac:dyDescent="0.3">
      <c r="D885" s="23"/>
      <c r="AH885" s="34"/>
      <c r="AI885" s="34"/>
    </row>
    <row r="886" spans="4:35" s="2" customFormat="1" ht="27" customHeight="1" x14ac:dyDescent="0.3">
      <c r="D886" s="23"/>
      <c r="AH886" s="34"/>
      <c r="AI886" s="34"/>
    </row>
    <row r="887" spans="4:35" s="2" customFormat="1" ht="27" customHeight="1" x14ac:dyDescent="0.3">
      <c r="D887" s="23"/>
      <c r="AH887" s="34"/>
      <c r="AI887" s="34"/>
    </row>
    <row r="888" spans="4:35" s="2" customFormat="1" ht="27" customHeight="1" x14ac:dyDescent="0.3">
      <c r="D888" s="23"/>
      <c r="AH888" s="34"/>
      <c r="AI888" s="34"/>
    </row>
    <row r="889" spans="4:35" s="2" customFormat="1" ht="27" customHeight="1" x14ac:dyDescent="0.3">
      <c r="D889" s="23"/>
      <c r="AH889" s="34"/>
      <c r="AI889" s="34"/>
    </row>
    <row r="890" spans="4:35" s="2" customFormat="1" ht="27" customHeight="1" x14ac:dyDescent="0.3">
      <c r="D890" s="23"/>
      <c r="AH890" s="34"/>
      <c r="AI890" s="34"/>
    </row>
    <row r="891" spans="4:35" s="2" customFormat="1" ht="27" customHeight="1" x14ac:dyDescent="0.3">
      <c r="D891" s="23"/>
      <c r="AH891" s="34"/>
      <c r="AI891" s="34"/>
    </row>
    <row r="892" spans="4:35" s="2" customFormat="1" ht="27" customHeight="1" x14ac:dyDescent="0.3">
      <c r="D892" s="23"/>
      <c r="AH892" s="34"/>
      <c r="AI892" s="34"/>
    </row>
    <row r="893" spans="4:35" s="2" customFormat="1" ht="27" customHeight="1" x14ac:dyDescent="0.3">
      <c r="D893" s="23"/>
      <c r="AH893" s="34"/>
      <c r="AI893" s="34"/>
    </row>
    <row r="894" spans="4:35" s="2" customFormat="1" ht="27" customHeight="1" x14ac:dyDescent="0.3">
      <c r="D894" s="23"/>
      <c r="AH894" s="34"/>
      <c r="AI894" s="34"/>
    </row>
    <row r="895" spans="4:35" s="2" customFormat="1" ht="27" customHeight="1" x14ac:dyDescent="0.3">
      <c r="D895" s="23"/>
      <c r="AH895" s="34"/>
      <c r="AI895" s="34"/>
    </row>
    <row r="896" spans="4:35" s="2" customFormat="1" ht="27" customHeight="1" x14ac:dyDescent="0.3">
      <c r="D896" s="23"/>
      <c r="AH896" s="34"/>
      <c r="AI896" s="34"/>
    </row>
    <row r="897" spans="4:35" s="2" customFormat="1" ht="27" customHeight="1" x14ac:dyDescent="0.3">
      <c r="D897" s="23"/>
      <c r="AH897" s="34"/>
      <c r="AI897" s="34"/>
    </row>
    <row r="898" spans="4:35" s="2" customFormat="1" ht="27" customHeight="1" x14ac:dyDescent="0.3">
      <c r="D898" s="23"/>
      <c r="AH898" s="34"/>
      <c r="AI898" s="34"/>
    </row>
    <row r="899" spans="4:35" s="2" customFormat="1" ht="27" customHeight="1" x14ac:dyDescent="0.3">
      <c r="D899" s="23"/>
      <c r="AH899" s="34"/>
      <c r="AI899" s="34"/>
    </row>
    <row r="900" spans="4:35" s="2" customFormat="1" ht="27" customHeight="1" x14ac:dyDescent="0.3">
      <c r="D900" s="23"/>
      <c r="AH900" s="34"/>
      <c r="AI900" s="34"/>
    </row>
    <row r="901" spans="4:35" s="2" customFormat="1" ht="27" customHeight="1" x14ac:dyDescent="0.3">
      <c r="D901" s="23"/>
      <c r="AH901" s="34"/>
      <c r="AI901" s="34"/>
    </row>
    <row r="902" spans="4:35" s="2" customFormat="1" ht="27" customHeight="1" x14ac:dyDescent="0.3">
      <c r="D902" s="23"/>
      <c r="AH902" s="34"/>
      <c r="AI902" s="34"/>
    </row>
    <row r="903" spans="4:35" s="2" customFormat="1" ht="27" customHeight="1" x14ac:dyDescent="0.3">
      <c r="D903" s="23"/>
      <c r="AH903" s="34"/>
      <c r="AI903" s="34"/>
    </row>
    <row r="904" spans="4:35" s="2" customFormat="1" ht="27" customHeight="1" x14ac:dyDescent="0.3">
      <c r="D904" s="23"/>
      <c r="AH904" s="34"/>
      <c r="AI904" s="34"/>
    </row>
    <row r="905" spans="4:35" s="2" customFormat="1" ht="27" customHeight="1" x14ac:dyDescent="0.3">
      <c r="D905" s="23"/>
      <c r="AH905" s="34"/>
      <c r="AI905" s="34"/>
    </row>
    <row r="906" spans="4:35" s="2" customFormat="1" ht="27" customHeight="1" x14ac:dyDescent="0.3">
      <c r="D906" s="23"/>
      <c r="AH906" s="34"/>
      <c r="AI906" s="34"/>
    </row>
    <row r="907" spans="4:35" s="2" customFormat="1" ht="27" customHeight="1" x14ac:dyDescent="0.3">
      <c r="D907" s="23"/>
      <c r="AH907" s="34"/>
      <c r="AI907" s="34"/>
    </row>
    <row r="908" spans="4:35" s="2" customFormat="1" ht="27" customHeight="1" x14ac:dyDescent="0.3">
      <c r="D908" s="23"/>
      <c r="AH908" s="34"/>
      <c r="AI908" s="34"/>
    </row>
    <row r="909" spans="4:35" s="2" customFormat="1" ht="27" customHeight="1" x14ac:dyDescent="0.3">
      <c r="D909" s="23"/>
      <c r="AH909" s="34"/>
      <c r="AI909" s="34"/>
    </row>
    <row r="910" spans="4:35" s="2" customFormat="1" ht="27" customHeight="1" x14ac:dyDescent="0.3">
      <c r="D910" s="23"/>
      <c r="AH910" s="34"/>
      <c r="AI910" s="34"/>
    </row>
    <row r="911" spans="4:35" s="2" customFormat="1" ht="27" customHeight="1" x14ac:dyDescent="0.3">
      <c r="D911" s="23"/>
      <c r="AH911" s="34"/>
      <c r="AI911" s="34"/>
    </row>
    <row r="912" spans="4:35" s="2" customFormat="1" ht="27" customHeight="1" x14ac:dyDescent="0.3">
      <c r="D912" s="23"/>
      <c r="AH912" s="34"/>
      <c r="AI912" s="34"/>
    </row>
    <row r="913" spans="4:35" s="2" customFormat="1" ht="27" customHeight="1" x14ac:dyDescent="0.3">
      <c r="D913" s="23"/>
      <c r="AH913" s="34"/>
      <c r="AI913" s="34"/>
    </row>
    <row r="914" spans="4:35" s="2" customFormat="1" ht="27" customHeight="1" x14ac:dyDescent="0.3">
      <c r="D914" s="23"/>
      <c r="AH914" s="34"/>
      <c r="AI914" s="34"/>
    </row>
    <row r="915" spans="4:35" s="2" customFormat="1" ht="27" customHeight="1" x14ac:dyDescent="0.3">
      <c r="D915" s="23"/>
      <c r="AH915" s="34"/>
      <c r="AI915" s="34"/>
    </row>
    <row r="916" spans="4:35" s="2" customFormat="1" ht="27" customHeight="1" x14ac:dyDescent="0.3">
      <c r="D916" s="23"/>
      <c r="AH916" s="34"/>
      <c r="AI916" s="34"/>
    </row>
    <row r="917" spans="4:35" s="2" customFormat="1" ht="27" customHeight="1" x14ac:dyDescent="0.3">
      <c r="D917" s="23"/>
      <c r="AH917" s="34"/>
      <c r="AI917" s="34"/>
    </row>
    <row r="918" spans="4:35" s="2" customFormat="1" ht="27" customHeight="1" x14ac:dyDescent="0.3">
      <c r="D918" s="23"/>
      <c r="AH918" s="34"/>
      <c r="AI918" s="34"/>
    </row>
    <row r="919" spans="4:35" s="2" customFormat="1" ht="27" customHeight="1" x14ac:dyDescent="0.3">
      <c r="D919" s="23"/>
      <c r="AH919" s="34"/>
      <c r="AI919" s="34"/>
    </row>
    <row r="920" spans="4:35" s="2" customFormat="1" ht="27" customHeight="1" x14ac:dyDescent="0.3">
      <c r="D920" s="23"/>
      <c r="AH920" s="34"/>
      <c r="AI920" s="34"/>
    </row>
    <row r="921" spans="4:35" s="2" customFormat="1" ht="27" customHeight="1" x14ac:dyDescent="0.3">
      <c r="D921" s="23"/>
      <c r="AH921" s="34"/>
      <c r="AI921" s="34"/>
    </row>
    <row r="922" spans="4:35" s="2" customFormat="1" ht="27" customHeight="1" x14ac:dyDescent="0.3">
      <c r="D922" s="23"/>
      <c r="AH922" s="34"/>
      <c r="AI922" s="34"/>
    </row>
    <row r="923" spans="4:35" s="2" customFormat="1" ht="27" customHeight="1" x14ac:dyDescent="0.3">
      <c r="D923" s="23"/>
      <c r="AH923" s="34"/>
      <c r="AI923" s="34"/>
    </row>
    <row r="924" spans="4:35" s="2" customFormat="1" ht="27" customHeight="1" x14ac:dyDescent="0.3">
      <c r="D924" s="23"/>
      <c r="AH924" s="34"/>
      <c r="AI924" s="34"/>
    </row>
    <row r="925" spans="4:35" s="2" customFormat="1" ht="27" customHeight="1" x14ac:dyDescent="0.3">
      <c r="D925" s="23"/>
      <c r="AH925" s="34"/>
      <c r="AI925" s="34"/>
    </row>
    <row r="926" spans="4:35" s="2" customFormat="1" ht="27" customHeight="1" x14ac:dyDescent="0.3">
      <c r="D926" s="23"/>
      <c r="AH926" s="34"/>
      <c r="AI926" s="34"/>
    </row>
    <row r="927" spans="4:35" s="2" customFormat="1" ht="27" customHeight="1" x14ac:dyDescent="0.3">
      <c r="D927" s="23"/>
      <c r="AH927" s="34"/>
      <c r="AI927" s="34"/>
    </row>
    <row r="928" spans="4:35" s="2" customFormat="1" ht="27" customHeight="1" x14ac:dyDescent="0.3">
      <c r="D928" s="23"/>
      <c r="AH928" s="34"/>
      <c r="AI928" s="34"/>
    </row>
    <row r="929" spans="4:35" s="2" customFormat="1" ht="27" customHeight="1" x14ac:dyDescent="0.3">
      <c r="D929" s="23"/>
      <c r="AH929" s="34"/>
      <c r="AI929" s="34"/>
    </row>
    <row r="930" spans="4:35" s="2" customFormat="1" ht="27" customHeight="1" x14ac:dyDescent="0.3">
      <c r="D930" s="23"/>
      <c r="AH930" s="34"/>
      <c r="AI930" s="34"/>
    </row>
    <row r="931" spans="4:35" s="2" customFormat="1" ht="27" customHeight="1" x14ac:dyDescent="0.3">
      <c r="D931" s="23"/>
      <c r="AH931" s="34"/>
      <c r="AI931" s="34"/>
    </row>
    <row r="932" spans="4:35" s="2" customFormat="1" ht="27" customHeight="1" x14ac:dyDescent="0.3">
      <c r="D932" s="23"/>
      <c r="AH932" s="34"/>
      <c r="AI932" s="34"/>
    </row>
    <row r="933" spans="4:35" s="2" customFormat="1" ht="27" customHeight="1" x14ac:dyDescent="0.3">
      <c r="D933" s="23"/>
      <c r="AH933" s="34"/>
      <c r="AI933" s="34"/>
    </row>
    <row r="934" spans="4:35" s="2" customFormat="1" ht="27" customHeight="1" x14ac:dyDescent="0.3">
      <c r="D934" s="23"/>
      <c r="AH934" s="34"/>
      <c r="AI934" s="34"/>
    </row>
    <row r="935" spans="4:35" s="2" customFormat="1" ht="27" customHeight="1" x14ac:dyDescent="0.3">
      <c r="D935" s="23"/>
      <c r="AH935" s="34"/>
      <c r="AI935" s="34"/>
    </row>
    <row r="936" spans="4:35" s="2" customFormat="1" ht="27" customHeight="1" x14ac:dyDescent="0.3">
      <c r="D936" s="23"/>
      <c r="AH936" s="34"/>
      <c r="AI936" s="34"/>
    </row>
    <row r="937" spans="4:35" s="2" customFormat="1" ht="27" customHeight="1" x14ac:dyDescent="0.3">
      <c r="D937" s="23"/>
      <c r="AH937" s="34"/>
      <c r="AI937" s="34"/>
    </row>
    <row r="938" spans="4:35" s="2" customFormat="1" ht="27" customHeight="1" x14ac:dyDescent="0.3">
      <c r="D938" s="23"/>
      <c r="AH938" s="34"/>
      <c r="AI938" s="34"/>
    </row>
    <row r="939" spans="4:35" s="2" customFormat="1" ht="27" customHeight="1" x14ac:dyDescent="0.3">
      <c r="D939" s="23"/>
      <c r="AH939" s="34"/>
      <c r="AI939" s="34"/>
    </row>
    <row r="940" spans="4:35" s="2" customFormat="1" ht="27" customHeight="1" x14ac:dyDescent="0.3">
      <c r="D940" s="23"/>
      <c r="AH940" s="34"/>
      <c r="AI940" s="34"/>
    </row>
    <row r="941" spans="4:35" s="2" customFormat="1" ht="27" customHeight="1" x14ac:dyDescent="0.3">
      <c r="D941" s="23"/>
      <c r="AH941" s="34"/>
      <c r="AI941" s="34"/>
    </row>
    <row r="942" spans="4:35" s="2" customFormat="1" ht="27" customHeight="1" x14ac:dyDescent="0.3">
      <c r="D942" s="23"/>
      <c r="AH942" s="34"/>
      <c r="AI942" s="34"/>
    </row>
    <row r="943" spans="4:35" s="2" customFormat="1" ht="27" customHeight="1" x14ac:dyDescent="0.3">
      <c r="D943" s="23"/>
      <c r="AH943" s="34"/>
      <c r="AI943" s="34"/>
    </row>
    <row r="944" spans="4:35" s="2" customFormat="1" ht="27" customHeight="1" x14ac:dyDescent="0.3">
      <c r="D944" s="23"/>
      <c r="AH944" s="34"/>
      <c r="AI944" s="34"/>
    </row>
    <row r="945" spans="4:35" s="2" customFormat="1" ht="27" customHeight="1" x14ac:dyDescent="0.3">
      <c r="D945" s="23"/>
      <c r="AH945" s="34"/>
      <c r="AI945" s="34"/>
    </row>
    <row r="946" spans="4:35" s="2" customFormat="1" ht="27" customHeight="1" x14ac:dyDescent="0.3">
      <c r="D946" s="23"/>
      <c r="AH946" s="34"/>
      <c r="AI946" s="34"/>
    </row>
    <row r="947" spans="4:35" s="2" customFormat="1" ht="27" customHeight="1" x14ac:dyDescent="0.3">
      <c r="D947" s="23"/>
      <c r="AH947" s="34"/>
      <c r="AI947" s="34"/>
    </row>
    <row r="948" spans="4:35" s="2" customFormat="1" ht="27" customHeight="1" x14ac:dyDescent="0.3">
      <c r="D948" s="23"/>
      <c r="AH948" s="34"/>
      <c r="AI948" s="34"/>
    </row>
    <row r="949" spans="4:35" s="2" customFormat="1" ht="27" customHeight="1" x14ac:dyDescent="0.3">
      <c r="D949" s="23"/>
      <c r="AH949" s="34"/>
      <c r="AI949" s="34"/>
    </row>
    <row r="950" spans="4:35" s="2" customFormat="1" ht="27" customHeight="1" x14ac:dyDescent="0.3">
      <c r="D950" s="23"/>
      <c r="AH950" s="34"/>
      <c r="AI950" s="34"/>
    </row>
    <row r="951" spans="4:35" s="2" customFormat="1" ht="27" customHeight="1" x14ac:dyDescent="0.3">
      <c r="D951" s="23"/>
      <c r="AH951" s="34"/>
      <c r="AI951" s="34"/>
    </row>
    <row r="952" spans="4:35" s="2" customFormat="1" ht="27" customHeight="1" x14ac:dyDescent="0.3">
      <c r="D952" s="23"/>
      <c r="AH952" s="34"/>
      <c r="AI952" s="34"/>
    </row>
    <row r="953" spans="4:35" s="2" customFormat="1" ht="27" customHeight="1" x14ac:dyDescent="0.3">
      <c r="D953" s="23"/>
      <c r="AH953" s="34"/>
      <c r="AI953" s="34"/>
    </row>
    <row r="954" spans="4:35" s="2" customFormat="1" ht="27" customHeight="1" x14ac:dyDescent="0.3">
      <c r="D954" s="23"/>
      <c r="AH954" s="34"/>
      <c r="AI954" s="34"/>
    </row>
    <row r="955" spans="4:35" s="2" customFormat="1" ht="27" customHeight="1" x14ac:dyDescent="0.3">
      <c r="D955" s="23"/>
      <c r="AH955" s="34"/>
      <c r="AI955" s="34"/>
    </row>
    <row r="956" spans="4:35" s="2" customFormat="1" ht="27" customHeight="1" x14ac:dyDescent="0.3">
      <c r="D956" s="23"/>
      <c r="AH956" s="34"/>
      <c r="AI956" s="34"/>
    </row>
    <row r="957" spans="4:35" s="2" customFormat="1" ht="27" customHeight="1" x14ac:dyDescent="0.3">
      <c r="D957" s="23"/>
      <c r="AH957" s="34"/>
      <c r="AI957" s="34"/>
    </row>
    <row r="958" spans="4:35" s="2" customFormat="1" ht="27" customHeight="1" x14ac:dyDescent="0.3">
      <c r="D958" s="23"/>
      <c r="AH958" s="34"/>
      <c r="AI958" s="34"/>
    </row>
    <row r="959" spans="4:35" s="2" customFormat="1" ht="27" customHeight="1" x14ac:dyDescent="0.3">
      <c r="D959" s="23"/>
      <c r="AH959" s="34"/>
      <c r="AI959" s="34"/>
    </row>
    <row r="960" spans="4:35" s="2" customFormat="1" ht="27" customHeight="1" x14ac:dyDescent="0.3">
      <c r="D960" s="23"/>
      <c r="AH960" s="34"/>
      <c r="AI960" s="34"/>
    </row>
    <row r="961" spans="4:35" s="2" customFormat="1" ht="27" customHeight="1" x14ac:dyDescent="0.3">
      <c r="D961" s="23"/>
      <c r="AH961" s="34"/>
      <c r="AI961" s="34"/>
    </row>
    <row r="962" spans="4:35" s="2" customFormat="1" ht="27" customHeight="1" x14ac:dyDescent="0.3">
      <c r="D962" s="23"/>
      <c r="AH962" s="34"/>
      <c r="AI962" s="34"/>
    </row>
    <row r="963" spans="4:35" s="2" customFormat="1" ht="27" customHeight="1" x14ac:dyDescent="0.3">
      <c r="D963" s="23"/>
      <c r="AH963" s="34"/>
      <c r="AI963" s="34"/>
    </row>
    <row r="964" spans="4:35" s="2" customFormat="1" ht="27" customHeight="1" x14ac:dyDescent="0.3">
      <c r="D964" s="23"/>
      <c r="AH964" s="34"/>
      <c r="AI964" s="34"/>
    </row>
    <row r="965" spans="4:35" s="2" customFormat="1" ht="27" customHeight="1" x14ac:dyDescent="0.3">
      <c r="D965" s="23"/>
      <c r="AH965" s="34"/>
      <c r="AI965" s="34"/>
    </row>
    <row r="966" spans="4:35" s="2" customFormat="1" ht="27" customHeight="1" x14ac:dyDescent="0.3">
      <c r="D966" s="23"/>
      <c r="AH966" s="34"/>
      <c r="AI966" s="34"/>
    </row>
    <row r="967" spans="4:35" s="2" customFormat="1" ht="27" customHeight="1" x14ac:dyDescent="0.3">
      <c r="D967" s="23"/>
      <c r="AH967" s="34"/>
      <c r="AI967" s="34"/>
    </row>
    <row r="968" spans="4:35" s="2" customFormat="1" ht="27" customHeight="1" x14ac:dyDescent="0.3">
      <c r="D968" s="23"/>
      <c r="AH968" s="34"/>
      <c r="AI968" s="34"/>
    </row>
    <row r="969" spans="4:35" s="2" customFormat="1" ht="27" customHeight="1" x14ac:dyDescent="0.3">
      <c r="D969" s="23"/>
      <c r="AH969" s="34"/>
      <c r="AI969" s="34"/>
    </row>
    <row r="970" spans="4:35" s="2" customFormat="1" ht="27" customHeight="1" x14ac:dyDescent="0.3">
      <c r="D970" s="23"/>
      <c r="AH970" s="34"/>
      <c r="AI970" s="34"/>
    </row>
    <row r="971" spans="4:35" s="2" customFormat="1" ht="27" customHeight="1" x14ac:dyDescent="0.3">
      <c r="D971" s="23"/>
      <c r="AH971" s="34"/>
      <c r="AI971" s="34"/>
    </row>
    <row r="972" spans="4:35" s="2" customFormat="1" ht="27" customHeight="1" x14ac:dyDescent="0.3">
      <c r="D972" s="23"/>
      <c r="AH972" s="34"/>
      <c r="AI972" s="34"/>
    </row>
    <row r="973" spans="4:35" s="2" customFormat="1" ht="27" customHeight="1" x14ac:dyDescent="0.3">
      <c r="D973" s="23"/>
      <c r="AH973" s="34"/>
      <c r="AI973" s="34"/>
    </row>
    <row r="974" spans="4:35" s="2" customFormat="1" ht="27" customHeight="1" x14ac:dyDescent="0.3">
      <c r="D974" s="23"/>
      <c r="AH974" s="34"/>
      <c r="AI974" s="34"/>
    </row>
    <row r="975" spans="4:35" s="2" customFormat="1" ht="27" customHeight="1" x14ac:dyDescent="0.3">
      <c r="D975" s="23"/>
      <c r="AH975" s="34"/>
      <c r="AI975" s="34"/>
    </row>
    <row r="976" spans="4:35" s="2" customFormat="1" ht="27" customHeight="1" x14ac:dyDescent="0.3">
      <c r="D976" s="23"/>
      <c r="AH976" s="34"/>
      <c r="AI976" s="34"/>
    </row>
    <row r="977" spans="4:35" s="2" customFormat="1" ht="27" customHeight="1" x14ac:dyDescent="0.3">
      <c r="D977" s="23"/>
      <c r="AH977" s="34"/>
      <c r="AI977" s="34"/>
    </row>
    <row r="978" spans="4:35" s="2" customFormat="1" ht="27" customHeight="1" x14ac:dyDescent="0.3">
      <c r="D978" s="23"/>
      <c r="AH978" s="34"/>
      <c r="AI978" s="34"/>
    </row>
    <row r="979" spans="4:35" s="2" customFormat="1" ht="27" customHeight="1" x14ac:dyDescent="0.3">
      <c r="D979" s="23"/>
      <c r="AH979" s="34"/>
      <c r="AI979" s="34"/>
    </row>
    <row r="980" spans="4:35" s="2" customFormat="1" ht="27" customHeight="1" x14ac:dyDescent="0.3">
      <c r="D980" s="23"/>
      <c r="AH980" s="34"/>
      <c r="AI980" s="34"/>
    </row>
    <row r="981" spans="4:35" s="2" customFormat="1" ht="27" customHeight="1" x14ac:dyDescent="0.3">
      <c r="D981" s="23"/>
      <c r="AH981" s="34"/>
      <c r="AI981" s="34"/>
    </row>
    <row r="982" spans="4:35" s="2" customFormat="1" ht="27" customHeight="1" x14ac:dyDescent="0.3">
      <c r="D982" s="23"/>
      <c r="AH982" s="34"/>
      <c r="AI982" s="34"/>
    </row>
    <row r="983" spans="4:35" s="2" customFormat="1" ht="27" customHeight="1" x14ac:dyDescent="0.3">
      <c r="D983" s="23"/>
      <c r="AH983" s="34"/>
      <c r="AI983" s="34"/>
    </row>
    <row r="984" spans="4:35" s="2" customFormat="1" ht="27" customHeight="1" x14ac:dyDescent="0.3">
      <c r="D984" s="23"/>
      <c r="AH984" s="34"/>
      <c r="AI984" s="34"/>
    </row>
    <row r="985" spans="4:35" s="2" customFormat="1" ht="27" customHeight="1" x14ac:dyDescent="0.3">
      <c r="D985" s="23"/>
      <c r="AH985" s="34"/>
      <c r="AI985" s="34"/>
    </row>
    <row r="986" spans="4:35" s="2" customFormat="1" ht="27" customHeight="1" x14ac:dyDescent="0.3">
      <c r="D986" s="23"/>
      <c r="AH986" s="34"/>
      <c r="AI986" s="34"/>
    </row>
    <row r="987" spans="4:35" s="2" customFormat="1" ht="27" customHeight="1" x14ac:dyDescent="0.3">
      <c r="D987" s="23"/>
      <c r="AH987" s="34"/>
      <c r="AI987" s="34"/>
    </row>
    <row r="988" spans="4:35" s="2" customFormat="1" ht="27" customHeight="1" x14ac:dyDescent="0.3">
      <c r="D988" s="23"/>
      <c r="AH988" s="34"/>
      <c r="AI988" s="34"/>
    </row>
    <row r="989" spans="4:35" s="2" customFormat="1" ht="27" customHeight="1" x14ac:dyDescent="0.3">
      <c r="D989" s="23"/>
      <c r="AH989" s="34"/>
      <c r="AI989" s="34"/>
    </row>
    <row r="990" spans="4:35" s="2" customFormat="1" ht="27" customHeight="1" x14ac:dyDescent="0.3">
      <c r="D990" s="23"/>
      <c r="AH990" s="34"/>
      <c r="AI990" s="34"/>
    </row>
    <row r="991" spans="4:35" s="2" customFormat="1" ht="27" customHeight="1" x14ac:dyDescent="0.3">
      <c r="D991" s="23"/>
      <c r="AH991" s="34"/>
      <c r="AI991" s="34"/>
    </row>
    <row r="992" spans="4:35" s="2" customFormat="1" ht="27" customHeight="1" x14ac:dyDescent="0.3">
      <c r="D992" s="23"/>
      <c r="AH992" s="34"/>
      <c r="AI992" s="34"/>
    </row>
    <row r="993" spans="4:35" s="2" customFormat="1" ht="27" customHeight="1" x14ac:dyDescent="0.3">
      <c r="D993" s="23"/>
      <c r="AH993" s="34"/>
      <c r="AI993" s="34"/>
    </row>
    <row r="994" spans="4:35" s="2" customFormat="1" ht="27" customHeight="1" x14ac:dyDescent="0.3">
      <c r="D994" s="23"/>
      <c r="AH994" s="34"/>
      <c r="AI994" s="34"/>
    </row>
    <row r="995" spans="4:35" s="2" customFormat="1" ht="27" customHeight="1" x14ac:dyDescent="0.3">
      <c r="D995" s="23"/>
      <c r="AH995" s="34"/>
      <c r="AI995" s="34"/>
    </row>
    <row r="996" spans="4:35" s="2" customFormat="1" ht="27" customHeight="1" x14ac:dyDescent="0.3">
      <c r="D996" s="23"/>
      <c r="AH996" s="34"/>
      <c r="AI996" s="34"/>
    </row>
    <row r="997" spans="4:35" s="2" customFormat="1" ht="27" customHeight="1" x14ac:dyDescent="0.3">
      <c r="D997" s="23"/>
      <c r="AH997" s="34"/>
      <c r="AI997" s="34"/>
    </row>
    <row r="998" spans="4:35" s="2" customFormat="1" ht="27" customHeight="1" x14ac:dyDescent="0.3">
      <c r="D998" s="23"/>
      <c r="AH998" s="34"/>
      <c r="AI998" s="34"/>
    </row>
    <row r="999" spans="4:35" s="2" customFormat="1" ht="27" customHeight="1" x14ac:dyDescent="0.3">
      <c r="D999" s="23"/>
      <c r="AH999" s="34"/>
      <c r="AI999" s="34"/>
    </row>
    <row r="1000" spans="4:35" s="2" customFormat="1" ht="27" customHeight="1" x14ac:dyDescent="0.3">
      <c r="D1000" s="23"/>
      <c r="AH1000" s="34"/>
      <c r="AI1000" s="34"/>
    </row>
    <row r="1001" spans="4:35" s="2" customFormat="1" ht="27" customHeight="1" x14ac:dyDescent="0.3">
      <c r="D1001" s="23"/>
      <c r="AH1001" s="34"/>
      <c r="AI1001" s="34"/>
    </row>
    <row r="1002" spans="4:35" s="2" customFormat="1" ht="27" customHeight="1" x14ac:dyDescent="0.3">
      <c r="D1002" s="23"/>
      <c r="AH1002" s="34"/>
      <c r="AI1002" s="34"/>
    </row>
    <row r="1003" spans="4:35" s="2" customFormat="1" ht="27" customHeight="1" x14ac:dyDescent="0.3">
      <c r="D1003" s="23"/>
      <c r="AH1003" s="34"/>
      <c r="AI1003" s="34"/>
    </row>
    <row r="1004" spans="4:35" s="2" customFormat="1" ht="27" customHeight="1" x14ac:dyDescent="0.3">
      <c r="D1004" s="23"/>
      <c r="AH1004" s="34"/>
      <c r="AI1004" s="34"/>
    </row>
    <row r="1005" spans="4:35" s="2" customFormat="1" ht="27" customHeight="1" x14ac:dyDescent="0.3">
      <c r="D1005" s="23"/>
      <c r="AH1005" s="34"/>
      <c r="AI1005" s="34"/>
    </row>
    <row r="1006" spans="4:35" s="2" customFormat="1" ht="27" customHeight="1" x14ac:dyDescent="0.3">
      <c r="D1006" s="23"/>
      <c r="AH1006" s="34"/>
      <c r="AI1006" s="34"/>
    </row>
    <row r="1007" spans="4:35" s="2" customFormat="1" ht="27" customHeight="1" x14ac:dyDescent="0.3">
      <c r="D1007" s="23"/>
      <c r="AH1007" s="34"/>
      <c r="AI1007" s="34"/>
    </row>
    <row r="1008" spans="4:35" s="2" customFormat="1" ht="27" customHeight="1" x14ac:dyDescent="0.3">
      <c r="D1008" s="23"/>
      <c r="AH1008" s="34"/>
      <c r="AI1008" s="34"/>
    </row>
    <row r="1009" spans="4:35" s="2" customFormat="1" ht="27" customHeight="1" x14ac:dyDescent="0.3">
      <c r="D1009" s="23"/>
      <c r="AH1009" s="34"/>
      <c r="AI1009" s="34"/>
    </row>
    <row r="1010" spans="4:35" s="2" customFormat="1" ht="27" customHeight="1" x14ac:dyDescent="0.3">
      <c r="D1010" s="23"/>
      <c r="AH1010" s="34"/>
      <c r="AI1010" s="34"/>
    </row>
    <row r="1011" spans="4:35" s="2" customFormat="1" ht="27" customHeight="1" x14ac:dyDescent="0.3">
      <c r="D1011" s="23"/>
      <c r="AH1011" s="34"/>
      <c r="AI1011" s="34"/>
    </row>
    <row r="1012" spans="4:35" s="2" customFormat="1" ht="27" customHeight="1" x14ac:dyDescent="0.3">
      <c r="D1012" s="23"/>
      <c r="AH1012" s="34"/>
      <c r="AI1012" s="34"/>
    </row>
    <row r="1013" spans="4:35" s="2" customFormat="1" ht="27" customHeight="1" x14ac:dyDescent="0.3">
      <c r="D1013" s="23"/>
      <c r="AH1013" s="34"/>
      <c r="AI1013" s="34"/>
    </row>
    <row r="1014" spans="4:35" s="2" customFormat="1" ht="27" customHeight="1" x14ac:dyDescent="0.3">
      <c r="D1014" s="23"/>
      <c r="AH1014" s="34"/>
      <c r="AI1014" s="34"/>
    </row>
    <row r="1015" spans="4:35" s="2" customFormat="1" ht="27" customHeight="1" x14ac:dyDescent="0.3">
      <c r="D1015" s="23"/>
      <c r="AH1015" s="34"/>
      <c r="AI1015" s="34"/>
    </row>
    <row r="1016" spans="4:35" s="2" customFormat="1" ht="27" customHeight="1" x14ac:dyDescent="0.3">
      <c r="D1016" s="23"/>
      <c r="AH1016" s="34"/>
      <c r="AI1016" s="34"/>
    </row>
    <row r="1017" spans="4:35" s="2" customFormat="1" ht="27" customHeight="1" x14ac:dyDescent="0.3">
      <c r="D1017" s="23"/>
      <c r="AH1017" s="34"/>
      <c r="AI1017" s="34"/>
    </row>
    <row r="1018" spans="4:35" s="2" customFormat="1" ht="27" customHeight="1" x14ac:dyDescent="0.3">
      <c r="D1018" s="23"/>
      <c r="AH1018" s="34"/>
      <c r="AI1018" s="34"/>
    </row>
    <row r="1019" spans="4:35" s="2" customFormat="1" ht="27" customHeight="1" x14ac:dyDescent="0.3">
      <c r="D1019" s="23"/>
      <c r="AH1019" s="34"/>
      <c r="AI1019" s="34"/>
    </row>
    <row r="1020" spans="4:35" s="2" customFormat="1" ht="27" customHeight="1" x14ac:dyDescent="0.3">
      <c r="D1020" s="23"/>
      <c r="AH1020" s="34"/>
      <c r="AI1020" s="34"/>
    </row>
    <row r="1021" spans="4:35" s="2" customFormat="1" ht="27" customHeight="1" x14ac:dyDescent="0.3">
      <c r="D1021" s="23"/>
      <c r="AH1021" s="34"/>
      <c r="AI1021" s="34"/>
    </row>
    <row r="1022" spans="4:35" s="2" customFormat="1" ht="27" customHeight="1" x14ac:dyDescent="0.3">
      <c r="D1022" s="23"/>
      <c r="AH1022" s="34"/>
      <c r="AI1022" s="34"/>
    </row>
    <row r="1023" spans="4:35" s="2" customFormat="1" ht="27" customHeight="1" x14ac:dyDescent="0.3">
      <c r="D1023" s="23"/>
      <c r="AH1023" s="34"/>
      <c r="AI1023" s="34"/>
    </row>
    <row r="1024" spans="4:35" s="2" customFormat="1" ht="27" customHeight="1" x14ac:dyDescent="0.3">
      <c r="D1024" s="23"/>
      <c r="AH1024" s="34"/>
      <c r="AI1024" s="34"/>
    </row>
    <row r="1025" spans="4:35" s="2" customFormat="1" ht="27" customHeight="1" x14ac:dyDescent="0.3">
      <c r="D1025" s="23"/>
      <c r="AH1025" s="34"/>
      <c r="AI1025" s="34"/>
    </row>
    <row r="1026" spans="4:35" s="2" customFormat="1" ht="27" customHeight="1" x14ac:dyDescent="0.3">
      <c r="D1026" s="23"/>
      <c r="AH1026" s="34"/>
      <c r="AI1026" s="34"/>
    </row>
    <row r="1027" spans="4:35" s="2" customFormat="1" ht="27" customHeight="1" x14ac:dyDescent="0.3">
      <c r="D1027" s="23"/>
      <c r="AH1027" s="34"/>
      <c r="AI1027" s="34"/>
    </row>
    <row r="1028" spans="4:35" s="2" customFormat="1" ht="27" customHeight="1" x14ac:dyDescent="0.3">
      <c r="D1028" s="23"/>
      <c r="AH1028" s="34"/>
      <c r="AI1028" s="34"/>
    </row>
    <row r="1029" spans="4:35" s="2" customFormat="1" ht="27" customHeight="1" x14ac:dyDescent="0.3">
      <c r="D1029" s="23"/>
      <c r="AH1029" s="34"/>
      <c r="AI1029" s="34"/>
    </row>
    <row r="1030" spans="4:35" s="2" customFormat="1" ht="27" customHeight="1" x14ac:dyDescent="0.3">
      <c r="D1030" s="23"/>
      <c r="AH1030" s="34"/>
      <c r="AI1030" s="34"/>
    </row>
    <row r="1031" spans="4:35" s="2" customFormat="1" ht="27" customHeight="1" x14ac:dyDescent="0.3">
      <c r="D1031" s="23"/>
      <c r="AH1031" s="34"/>
      <c r="AI1031" s="34"/>
    </row>
    <row r="1032" spans="4:35" s="2" customFormat="1" ht="27" customHeight="1" x14ac:dyDescent="0.3">
      <c r="D1032" s="23"/>
      <c r="AH1032" s="34"/>
      <c r="AI1032" s="34"/>
    </row>
    <row r="1033" spans="4:35" s="2" customFormat="1" ht="27" customHeight="1" x14ac:dyDescent="0.3">
      <c r="D1033" s="23"/>
      <c r="AH1033" s="34"/>
      <c r="AI1033" s="34"/>
    </row>
    <row r="1034" spans="4:35" s="2" customFormat="1" ht="27" customHeight="1" x14ac:dyDescent="0.3">
      <c r="D1034" s="23"/>
      <c r="AH1034" s="34"/>
      <c r="AI1034" s="34"/>
    </row>
    <row r="1035" spans="4:35" s="2" customFormat="1" ht="27" customHeight="1" x14ac:dyDescent="0.3">
      <c r="D1035" s="23"/>
      <c r="AH1035" s="34"/>
      <c r="AI1035" s="34"/>
    </row>
    <row r="1036" spans="4:35" s="2" customFormat="1" ht="27" customHeight="1" x14ac:dyDescent="0.3">
      <c r="D1036" s="23"/>
      <c r="AH1036" s="34"/>
      <c r="AI1036" s="34"/>
    </row>
    <row r="1037" spans="4:35" s="2" customFormat="1" ht="27" customHeight="1" x14ac:dyDescent="0.3">
      <c r="D1037" s="23"/>
      <c r="AH1037" s="34"/>
      <c r="AI1037" s="34"/>
    </row>
    <row r="1038" spans="4:35" s="2" customFormat="1" ht="27" customHeight="1" x14ac:dyDescent="0.3">
      <c r="D1038" s="23"/>
      <c r="AH1038" s="34"/>
      <c r="AI1038" s="34"/>
    </row>
    <row r="1039" spans="4:35" s="2" customFormat="1" ht="27" customHeight="1" x14ac:dyDescent="0.3">
      <c r="D1039" s="23"/>
      <c r="AH1039" s="34"/>
      <c r="AI1039" s="34"/>
    </row>
    <row r="1040" spans="4:35" s="2" customFormat="1" ht="27" customHeight="1" x14ac:dyDescent="0.3">
      <c r="D1040" s="23"/>
      <c r="AH1040" s="34"/>
      <c r="AI1040" s="34"/>
    </row>
    <row r="1041" spans="4:35" s="2" customFormat="1" ht="27" customHeight="1" x14ac:dyDescent="0.3">
      <c r="D1041" s="23"/>
      <c r="AH1041" s="34"/>
      <c r="AI1041" s="34"/>
    </row>
    <row r="1042" spans="4:35" s="2" customFormat="1" ht="27" customHeight="1" x14ac:dyDescent="0.3">
      <c r="D1042" s="23"/>
      <c r="AH1042" s="34"/>
      <c r="AI1042" s="34"/>
    </row>
    <row r="1043" spans="4:35" s="2" customFormat="1" ht="27" customHeight="1" x14ac:dyDescent="0.3">
      <c r="D1043" s="23"/>
      <c r="AH1043" s="34"/>
      <c r="AI1043" s="34"/>
    </row>
    <row r="1044" spans="4:35" s="2" customFormat="1" ht="27" customHeight="1" x14ac:dyDescent="0.3">
      <c r="D1044" s="23"/>
      <c r="AH1044" s="34"/>
      <c r="AI1044" s="34"/>
    </row>
    <row r="1045" spans="4:35" s="2" customFormat="1" ht="27" customHeight="1" x14ac:dyDescent="0.3">
      <c r="D1045" s="23"/>
      <c r="AH1045" s="34"/>
      <c r="AI1045" s="34"/>
    </row>
    <row r="1046" spans="4:35" s="2" customFormat="1" ht="27" customHeight="1" x14ac:dyDescent="0.3">
      <c r="D1046" s="23"/>
      <c r="AH1046" s="34"/>
      <c r="AI1046" s="34"/>
    </row>
    <row r="1047" spans="4:35" s="2" customFormat="1" ht="27" customHeight="1" x14ac:dyDescent="0.3">
      <c r="D1047" s="23"/>
      <c r="AH1047" s="34"/>
      <c r="AI1047" s="34"/>
    </row>
    <row r="1048" spans="4:35" s="2" customFormat="1" ht="27" customHeight="1" x14ac:dyDescent="0.3">
      <c r="D1048" s="23"/>
      <c r="AH1048" s="34"/>
      <c r="AI1048" s="34"/>
    </row>
    <row r="1049" spans="4:35" s="2" customFormat="1" ht="27" customHeight="1" x14ac:dyDescent="0.3">
      <c r="D1049" s="23"/>
      <c r="AH1049" s="34"/>
      <c r="AI1049" s="34"/>
    </row>
    <row r="1050" spans="4:35" s="2" customFormat="1" ht="27" customHeight="1" x14ac:dyDescent="0.3">
      <c r="D1050" s="23"/>
      <c r="AH1050" s="34"/>
      <c r="AI1050" s="34"/>
    </row>
    <row r="1051" spans="4:35" s="2" customFormat="1" ht="27" customHeight="1" x14ac:dyDescent="0.3">
      <c r="D1051" s="23"/>
      <c r="AH1051" s="34"/>
      <c r="AI1051" s="34"/>
    </row>
    <row r="1052" spans="4:35" s="2" customFormat="1" ht="27" customHeight="1" x14ac:dyDescent="0.3">
      <c r="D1052" s="23"/>
      <c r="AH1052" s="34"/>
      <c r="AI1052" s="34"/>
    </row>
    <row r="1053" spans="4:35" s="2" customFormat="1" ht="27" customHeight="1" x14ac:dyDescent="0.3">
      <c r="D1053" s="23"/>
      <c r="AH1053" s="34"/>
      <c r="AI1053" s="34"/>
    </row>
    <row r="1054" spans="4:35" s="2" customFormat="1" ht="27" customHeight="1" x14ac:dyDescent="0.3">
      <c r="D1054" s="23"/>
      <c r="AH1054" s="34"/>
      <c r="AI1054" s="34"/>
    </row>
    <row r="1055" spans="4:35" s="2" customFormat="1" ht="27" customHeight="1" x14ac:dyDescent="0.3">
      <c r="D1055" s="23"/>
      <c r="AH1055" s="34"/>
      <c r="AI1055" s="34"/>
    </row>
    <row r="1056" spans="4:35" s="2" customFormat="1" ht="27" customHeight="1" x14ac:dyDescent="0.3">
      <c r="D1056" s="23"/>
      <c r="AH1056" s="34"/>
      <c r="AI1056" s="34"/>
    </row>
    <row r="1057" spans="4:35" s="2" customFormat="1" ht="27" customHeight="1" x14ac:dyDescent="0.3">
      <c r="D1057" s="23"/>
      <c r="AH1057" s="34"/>
      <c r="AI1057" s="34"/>
    </row>
    <row r="1058" spans="4:35" s="2" customFormat="1" ht="27" customHeight="1" x14ac:dyDescent="0.3">
      <c r="D1058" s="23"/>
      <c r="AH1058" s="34"/>
      <c r="AI1058" s="34"/>
    </row>
    <row r="1059" spans="4:35" s="2" customFormat="1" ht="27" customHeight="1" x14ac:dyDescent="0.3">
      <c r="D1059" s="23"/>
      <c r="AH1059" s="34"/>
      <c r="AI1059" s="34"/>
    </row>
    <row r="1060" spans="4:35" s="2" customFormat="1" ht="27" customHeight="1" x14ac:dyDescent="0.3">
      <c r="D1060" s="23"/>
      <c r="AH1060" s="34"/>
      <c r="AI1060" s="34"/>
    </row>
    <row r="1061" spans="4:35" s="2" customFormat="1" ht="27" customHeight="1" x14ac:dyDescent="0.3">
      <c r="D1061" s="23"/>
      <c r="AH1061" s="34"/>
      <c r="AI1061" s="34"/>
    </row>
    <row r="1062" spans="4:35" s="2" customFormat="1" ht="27" customHeight="1" x14ac:dyDescent="0.3">
      <c r="D1062" s="23"/>
      <c r="AH1062" s="34"/>
      <c r="AI1062" s="34"/>
    </row>
    <row r="1063" spans="4:35" s="2" customFormat="1" ht="27" customHeight="1" x14ac:dyDescent="0.3">
      <c r="D1063" s="23"/>
      <c r="AH1063" s="34"/>
      <c r="AI1063" s="34"/>
    </row>
    <row r="1064" spans="4:35" s="2" customFormat="1" ht="27" customHeight="1" x14ac:dyDescent="0.3">
      <c r="D1064" s="23"/>
      <c r="AH1064" s="34"/>
      <c r="AI1064" s="34"/>
    </row>
    <row r="1065" spans="4:35" s="2" customFormat="1" ht="27" customHeight="1" x14ac:dyDescent="0.3">
      <c r="D1065" s="23"/>
      <c r="AH1065" s="34"/>
      <c r="AI1065" s="34"/>
    </row>
    <row r="1066" spans="4:35" s="2" customFormat="1" ht="27" customHeight="1" x14ac:dyDescent="0.3">
      <c r="D1066" s="23"/>
      <c r="AH1066" s="34"/>
      <c r="AI1066" s="34"/>
    </row>
    <row r="1067" spans="4:35" s="2" customFormat="1" ht="27" customHeight="1" x14ac:dyDescent="0.3">
      <c r="D1067" s="23"/>
      <c r="AH1067" s="34"/>
      <c r="AI1067" s="34"/>
    </row>
    <row r="1068" spans="4:35" s="2" customFormat="1" ht="27" customHeight="1" x14ac:dyDescent="0.3">
      <c r="D1068" s="23"/>
      <c r="AH1068" s="34"/>
      <c r="AI1068" s="34"/>
    </row>
    <row r="1069" spans="4:35" s="2" customFormat="1" ht="27" customHeight="1" x14ac:dyDescent="0.3">
      <c r="D1069" s="23"/>
      <c r="AH1069" s="34"/>
      <c r="AI1069" s="34"/>
    </row>
    <row r="1070" spans="4:35" s="2" customFormat="1" ht="27" customHeight="1" x14ac:dyDescent="0.3">
      <c r="D1070" s="23"/>
      <c r="AH1070" s="34"/>
      <c r="AI1070" s="34"/>
    </row>
    <row r="1071" spans="4:35" s="2" customFormat="1" ht="27" customHeight="1" x14ac:dyDescent="0.3">
      <c r="D1071" s="23"/>
      <c r="AH1071" s="34"/>
      <c r="AI1071" s="34"/>
    </row>
    <row r="1072" spans="4:35" s="2" customFormat="1" ht="27" customHeight="1" x14ac:dyDescent="0.3">
      <c r="D1072" s="23"/>
      <c r="AH1072" s="34"/>
      <c r="AI1072" s="34"/>
    </row>
    <row r="1073" spans="4:35" s="2" customFormat="1" ht="27" customHeight="1" x14ac:dyDescent="0.3">
      <c r="D1073" s="23"/>
      <c r="AH1073" s="34"/>
      <c r="AI1073" s="34"/>
    </row>
    <row r="1074" spans="4:35" s="2" customFormat="1" ht="27" customHeight="1" x14ac:dyDescent="0.3">
      <c r="D1074" s="23"/>
      <c r="AH1074" s="34"/>
      <c r="AI1074" s="34"/>
    </row>
    <row r="1075" spans="4:35" s="2" customFormat="1" ht="27" customHeight="1" x14ac:dyDescent="0.3">
      <c r="D1075" s="23"/>
      <c r="AH1075" s="34"/>
      <c r="AI1075" s="34"/>
    </row>
    <row r="1076" spans="4:35" s="2" customFormat="1" ht="27" customHeight="1" x14ac:dyDescent="0.3">
      <c r="D1076" s="23"/>
      <c r="AH1076" s="34"/>
      <c r="AI1076" s="34"/>
    </row>
    <row r="1077" spans="4:35" s="2" customFormat="1" ht="27" customHeight="1" x14ac:dyDescent="0.3">
      <c r="D1077" s="23"/>
      <c r="AH1077" s="34"/>
      <c r="AI1077" s="34"/>
    </row>
    <row r="1078" spans="4:35" s="2" customFormat="1" ht="27" customHeight="1" x14ac:dyDescent="0.3">
      <c r="D1078" s="23"/>
      <c r="AH1078" s="34"/>
      <c r="AI1078" s="34"/>
    </row>
    <row r="1079" spans="4:35" s="2" customFormat="1" ht="27" customHeight="1" x14ac:dyDescent="0.3">
      <c r="D1079" s="23"/>
      <c r="AH1079" s="34"/>
      <c r="AI1079" s="34"/>
    </row>
    <row r="1080" spans="4:35" s="2" customFormat="1" ht="27" customHeight="1" x14ac:dyDescent="0.3">
      <c r="D1080" s="23"/>
      <c r="AH1080" s="34"/>
      <c r="AI1080" s="34"/>
    </row>
    <row r="1081" spans="4:35" s="2" customFormat="1" ht="27" customHeight="1" x14ac:dyDescent="0.3">
      <c r="D1081" s="23"/>
      <c r="AH1081" s="34"/>
      <c r="AI1081" s="34"/>
    </row>
    <row r="1082" spans="4:35" s="2" customFormat="1" ht="27" customHeight="1" x14ac:dyDescent="0.3">
      <c r="D1082" s="23"/>
      <c r="AH1082" s="34"/>
      <c r="AI1082" s="34"/>
    </row>
    <row r="1083" spans="4:35" s="2" customFormat="1" ht="27" customHeight="1" x14ac:dyDescent="0.3">
      <c r="D1083" s="23"/>
      <c r="AH1083" s="34"/>
      <c r="AI1083" s="34"/>
    </row>
    <row r="1084" spans="4:35" s="2" customFormat="1" ht="27" customHeight="1" x14ac:dyDescent="0.3">
      <c r="D1084" s="23"/>
      <c r="AH1084" s="34"/>
      <c r="AI1084" s="34"/>
    </row>
    <row r="1085" spans="4:35" s="2" customFormat="1" ht="27" customHeight="1" x14ac:dyDescent="0.3">
      <c r="D1085" s="23"/>
      <c r="AH1085" s="34"/>
      <c r="AI1085" s="34"/>
    </row>
    <row r="1086" spans="4:35" s="2" customFormat="1" ht="27" customHeight="1" x14ac:dyDescent="0.3">
      <c r="D1086" s="23"/>
      <c r="AH1086" s="34"/>
      <c r="AI1086" s="34"/>
    </row>
    <row r="1087" spans="4:35" s="2" customFormat="1" ht="27" customHeight="1" x14ac:dyDescent="0.3">
      <c r="D1087" s="23"/>
      <c r="AH1087" s="34"/>
      <c r="AI1087" s="34"/>
    </row>
    <row r="1088" spans="4:35" s="2" customFormat="1" ht="27" customHeight="1" x14ac:dyDescent="0.3">
      <c r="D1088" s="23"/>
      <c r="AH1088" s="34"/>
      <c r="AI1088" s="34"/>
    </row>
    <row r="1089" spans="4:35" s="2" customFormat="1" ht="27" customHeight="1" x14ac:dyDescent="0.3">
      <c r="D1089" s="23"/>
      <c r="AH1089" s="34"/>
      <c r="AI1089" s="34"/>
    </row>
    <row r="1090" spans="4:35" s="2" customFormat="1" ht="27" customHeight="1" x14ac:dyDescent="0.3">
      <c r="D1090" s="23"/>
      <c r="AH1090" s="34"/>
      <c r="AI1090" s="34"/>
    </row>
    <row r="1091" spans="4:35" s="2" customFormat="1" ht="27" customHeight="1" x14ac:dyDescent="0.3">
      <c r="D1091" s="23"/>
      <c r="AH1091" s="34"/>
      <c r="AI1091" s="34"/>
    </row>
    <row r="1092" spans="4:35" s="2" customFormat="1" ht="27" customHeight="1" x14ac:dyDescent="0.3">
      <c r="D1092" s="23"/>
      <c r="AH1092" s="34"/>
      <c r="AI1092" s="34"/>
    </row>
    <row r="1093" spans="4:35" s="2" customFormat="1" ht="27" customHeight="1" x14ac:dyDescent="0.3">
      <c r="D1093" s="23"/>
      <c r="AH1093" s="34"/>
      <c r="AI1093" s="34"/>
    </row>
    <row r="1094" spans="4:35" s="2" customFormat="1" ht="27" customHeight="1" x14ac:dyDescent="0.3">
      <c r="D1094" s="23"/>
      <c r="AH1094" s="34"/>
      <c r="AI1094" s="34"/>
    </row>
    <row r="1095" spans="4:35" s="2" customFormat="1" ht="27" customHeight="1" x14ac:dyDescent="0.3">
      <c r="D1095" s="23"/>
      <c r="AH1095" s="34"/>
      <c r="AI1095" s="34"/>
    </row>
    <row r="1096" spans="4:35" s="2" customFormat="1" ht="27" customHeight="1" x14ac:dyDescent="0.3">
      <c r="D1096" s="23"/>
      <c r="AH1096" s="34"/>
      <c r="AI1096" s="34"/>
    </row>
    <row r="1097" spans="4:35" s="2" customFormat="1" ht="27" customHeight="1" x14ac:dyDescent="0.3">
      <c r="D1097" s="23"/>
      <c r="AH1097" s="34"/>
      <c r="AI1097" s="34"/>
    </row>
    <row r="1098" spans="4:35" s="2" customFormat="1" ht="27" customHeight="1" x14ac:dyDescent="0.3">
      <c r="D1098" s="23"/>
      <c r="AH1098" s="34"/>
      <c r="AI1098" s="34"/>
    </row>
    <row r="1099" spans="4:35" s="2" customFormat="1" ht="27" customHeight="1" x14ac:dyDescent="0.3">
      <c r="D1099" s="23"/>
      <c r="AH1099" s="34"/>
      <c r="AI1099" s="34"/>
    </row>
    <row r="1100" spans="4:35" s="2" customFormat="1" ht="27" customHeight="1" x14ac:dyDescent="0.3">
      <c r="D1100" s="23"/>
      <c r="AH1100" s="34"/>
      <c r="AI1100" s="34"/>
    </row>
    <row r="1101" spans="4:35" s="2" customFormat="1" ht="27" customHeight="1" x14ac:dyDescent="0.3">
      <c r="D1101" s="23"/>
      <c r="AH1101" s="34"/>
      <c r="AI1101" s="34"/>
    </row>
    <row r="1102" spans="4:35" s="2" customFormat="1" ht="27" customHeight="1" x14ac:dyDescent="0.3">
      <c r="D1102" s="23"/>
      <c r="AH1102" s="34"/>
      <c r="AI1102" s="34"/>
    </row>
    <row r="1103" spans="4:35" s="2" customFormat="1" ht="27" customHeight="1" x14ac:dyDescent="0.3">
      <c r="D1103" s="23"/>
      <c r="AH1103" s="34"/>
      <c r="AI1103" s="34"/>
    </row>
    <row r="1104" spans="4:35" s="2" customFormat="1" ht="27" customHeight="1" x14ac:dyDescent="0.3">
      <c r="D1104" s="23"/>
      <c r="AH1104" s="34"/>
      <c r="AI1104" s="34"/>
    </row>
    <row r="1105" spans="4:35" s="2" customFormat="1" ht="27" customHeight="1" x14ac:dyDescent="0.3">
      <c r="D1105" s="23"/>
      <c r="AH1105" s="34"/>
      <c r="AI1105" s="34"/>
    </row>
    <row r="1106" spans="4:35" s="2" customFormat="1" ht="27" customHeight="1" x14ac:dyDescent="0.3">
      <c r="D1106" s="23"/>
      <c r="AH1106" s="34"/>
      <c r="AI1106" s="34"/>
    </row>
    <row r="1107" spans="4:35" s="2" customFormat="1" ht="27" customHeight="1" x14ac:dyDescent="0.3">
      <c r="D1107" s="23"/>
      <c r="AH1107" s="34"/>
      <c r="AI1107" s="34"/>
    </row>
    <row r="1108" spans="4:35" s="2" customFormat="1" ht="27" customHeight="1" x14ac:dyDescent="0.3">
      <c r="D1108" s="23"/>
      <c r="AH1108" s="34"/>
      <c r="AI1108" s="34"/>
    </row>
    <row r="1109" spans="4:35" s="2" customFormat="1" ht="27" customHeight="1" x14ac:dyDescent="0.3">
      <c r="D1109" s="23"/>
      <c r="AH1109" s="34"/>
      <c r="AI1109" s="34"/>
    </row>
    <row r="1110" spans="4:35" s="2" customFormat="1" ht="27" customHeight="1" x14ac:dyDescent="0.3">
      <c r="D1110" s="23"/>
      <c r="AH1110" s="34"/>
      <c r="AI1110" s="34"/>
    </row>
    <row r="1111" spans="4:35" s="2" customFormat="1" ht="27" customHeight="1" x14ac:dyDescent="0.3">
      <c r="D1111" s="23"/>
      <c r="AH1111" s="34"/>
      <c r="AI1111" s="34"/>
    </row>
    <row r="1112" spans="4:35" s="2" customFormat="1" ht="27" customHeight="1" x14ac:dyDescent="0.3">
      <c r="D1112" s="23"/>
      <c r="AH1112" s="34"/>
      <c r="AI1112" s="34"/>
    </row>
    <row r="1113" spans="4:35" s="2" customFormat="1" ht="27" customHeight="1" x14ac:dyDescent="0.3">
      <c r="D1113" s="23"/>
      <c r="AH1113" s="34"/>
      <c r="AI1113" s="34"/>
    </row>
    <row r="1114" spans="4:35" s="2" customFormat="1" ht="27" customHeight="1" x14ac:dyDescent="0.3">
      <c r="D1114" s="23"/>
      <c r="AH1114" s="34"/>
      <c r="AI1114" s="34"/>
    </row>
    <row r="1115" spans="4:35" s="2" customFormat="1" ht="27" customHeight="1" x14ac:dyDescent="0.3">
      <c r="D1115" s="23"/>
      <c r="AH1115" s="34"/>
      <c r="AI1115" s="34"/>
    </row>
    <row r="1116" spans="4:35" s="2" customFormat="1" ht="27" customHeight="1" x14ac:dyDescent="0.3">
      <c r="D1116" s="23"/>
      <c r="AH1116" s="34"/>
      <c r="AI1116" s="34"/>
    </row>
    <row r="1117" spans="4:35" s="2" customFormat="1" ht="27" customHeight="1" x14ac:dyDescent="0.3">
      <c r="D1117" s="23"/>
      <c r="AH1117" s="34"/>
      <c r="AI1117" s="34"/>
    </row>
    <row r="1118" spans="4:35" s="2" customFormat="1" ht="27" customHeight="1" x14ac:dyDescent="0.3">
      <c r="D1118" s="23"/>
      <c r="AH1118" s="34"/>
      <c r="AI1118" s="34"/>
    </row>
    <row r="1119" spans="4:35" s="2" customFormat="1" ht="27" customHeight="1" x14ac:dyDescent="0.3">
      <c r="D1119" s="23"/>
      <c r="AH1119" s="34"/>
      <c r="AI1119" s="34"/>
    </row>
    <row r="1120" spans="4:35" s="2" customFormat="1" ht="27" customHeight="1" x14ac:dyDescent="0.3">
      <c r="D1120" s="23"/>
      <c r="AH1120" s="34"/>
      <c r="AI1120" s="34"/>
    </row>
    <row r="1121" spans="4:35" s="2" customFormat="1" ht="27" customHeight="1" x14ac:dyDescent="0.3">
      <c r="D1121" s="23"/>
      <c r="AH1121" s="34"/>
      <c r="AI1121" s="34"/>
    </row>
    <row r="1122" spans="4:35" s="2" customFormat="1" ht="27" customHeight="1" x14ac:dyDescent="0.3">
      <c r="D1122" s="23"/>
      <c r="AH1122" s="34"/>
      <c r="AI1122" s="34"/>
    </row>
    <row r="1123" spans="4:35" s="2" customFormat="1" ht="27" customHeight="1" x14ac:dyDescent="0.3">
      <c r="D1123" s="23"/>
      <c r="AH1123" s="34"/>
      <c r="AI1123" s="34"/>
    </row>
    <row r="1124" spans="4:35" s="2" customFormat="1" ht="27" customHeight="1" x14ac:dyDescent="0.3">
      <c r="D1124" s="23"/>
      <c r="AH1124" s="34"/>
      <c r="AI1124" s="34"/>
    </row>
    <row r="1125" spans="4:35" s="2" customFormat="1" ht="27" customHeight="1" x14ac:dyDescent="0.3">
      <c r="D1125" s="23"/>
      <c r="AH1125" s="34"/>
      <c r="AI1125" s="34"/>
    </row>
    <row r="1126" spans="4:35" s="2" customFormat="1" ht="27" customHeight="1" x14ac:dyDescent="0.3">
      <c r="D1126" s="23"/>
      <c r="AH1126" s="34"/>
      <c r="AI1126" s="34"/>
    </row>
    <row r="1127" spans="4:35" s="2" customFormat="1" ht="27" customHeight="1" x14ac:dyDescent="0.3">
      <c r="D1127" s="23"/>
      <c r="AH1127" s="34"/>
      <c r="AI1127" s="34"/>
    </row>
    <row r="1128" spans="4:35" s="2" customFormat="1" ht="27" customHeight="1" x14ac:dyDescent="0.3">
      <c r="D1128" s="23"/>
      <c r="AH1128" s="34"/>
      <c r="AI1128" s="34"/>
    </row>
    <row r="1129" spans="4:35" s="2" customFormat="1" ht="27" customHeight="1" x14ac:dyDescent="0.3">
      <c r="D1129" s="23"/>
      <c r="AH1129" s="34"/>
      <c r="AI1129" s="34"/>
    </row>
    <row r="1130" spans="4:35" s="2" customFormat="1" ht="27" customHeight="1" x14ac:dyDescent="0.3">
      <c r="D1130" s="23"/>
      <c r="AH1130" s="34"/>
      <c r="AI1130" s="34"/>
    </row>
    <row r="1131" spans="4:35" s="2" customFormat="1" ht="27" customHeight="1" x14ac:dyDescent="0.3">
      <c r="D1131" s="23"/>
      <c r="AH1131" s="34"/>
      <c r="AI1131" s="34"/>
    </row>
    <row r="1132" spans="4:35" s="2" customFormat="1" ht="27" customHeight="1" x14ac:dyDescent="0.3">
      <c r="D1132" s="23"/>
      <c r="AH1132" s="34"/>
      <c r="AI1132" s="34"/>
    </row>
    <row r="1133" spans="4:35" s="2" customFormat="1" ht="27" customHeight="1" x14ac:dyDescent="0.3">
      <c r="D1133" s="23"/>
      <c r="AH1133" s="34"/>
      <c r="AI1133" s="34"/>
    </row>
    <row r="1134" spans="4:35" s="2" customFormat="1" ht="27" customHeight="1" x14ac:dyDescent="0.3">
      <c r="D1134" s="23"/>
      <c r="AH1134" s="34"/>
      <c r="AI1134" s="34"/>
    </row>
    <row r="1135" spans="4:35" s="2" customFormat="1" ht="27" customHeight="1" x14ac:dyDescent="0.3">
      <c r="D1135" s="23"/>
      <c r="AH1135" s="34"/>
      <c r="AI1135" s="34"/>
    </row>
    <row r="1136" spans="4:35" s="2" customFormat="1" ht="27" customHeight="1" x14ac:dyDescent="0.3">
      <c r="D1136" s="23"/>
      <c r="AH1136" s="34"/>
      <c r="AI1136" s="34"/>
    </row>
    <row r="1137" spans="4:35" s="2" customFormat="1" ht="27" customHeight="1" x14ac:dyDescent="0.3">
      <c r="D1137" s="23"/>
      <c r="AH1137" s="34"/>
      <c r="AI1137" s="34"/>
    </row>
    <row r="1138" spans="4:35" s="2" customFormat="1" ht="27" customHeight="1" x14ac:dyDescent="0.3">
      <c r="D1138" s="23"/>
      <c r="AH1138" s="34"/>
      <c r="AI1138" s="34"/>
    </row>
    <row r="1139" spans="4:35" s="2" customFormat="1" ht="27" customHeight="1" x14ac:dyDescent="0.3">
      <c r="D1139" s="23"/>
      <c r="AH1139" s="34"/>
      <c r="AI1139" s="34"/>
    </row>
    <row r="1140" spans="4:35" s="2" customFormat="1" ht="27" customHeight="1" x14ac:dyDescent="0.3">
      <c r="D1140" s="23"/>
      <c r="AH1140" s="34"/>
      <c r="AI1140" s="34"/>
    </row>
    <row r="1141" spans="4:35" s="2" customFormat="1" ht="27" customHeight="1" x14ac:dyDescent="0.3">
      <c r="D1141" s="23"/>
      <c r="AH1141" s="34"/>
      <c r="AI1141" s="34"/>
    </row>
    <row r="1142" spans="4:35" s="2" customFormat="1" ht="27" customHeight="1" x14ac:dyDescent="0.3">
      <c r="D1142" s="23"/>
      <c r="AH1142" s="34"/>
      <c r="AI1142" s="34"/>
    </row>
    <row r="1143" spans="4:35" s="2" customFormat="1" ht="27" customHeight="1" x14ac:dyDescent="0.3">
      <c r="D1143" s="23"/>
      <c r="AH1143" s="34"/>
      <c r="AI1143" s="34"/>
    </row>
    <row r="1144" spans="4:35" s="2" customFormat="1" ht="27" customHeight="1" x14ac:dyDescent="0.3">
      <c r="D1144" s="23"/>
      <c r="AH1144" s="34"/>
      <c r="AI1144" s="34"/>
    </row>
    <row r="1145" spans="4:35" s="2" customFormat="1" ht="27" customHeight="1" x14ac:dyDescent="0.3">
      <c r="D1145" s="23"/>
      <c r="AH1145" s="34"/>
      <c r="AI1145" s="34"/>
    </row>
    <row r="1146" spans="4:35" s="2" customFormat="1" ht="27" customHeight="1" x14ac:dyDescent="0.3">
      <c r="D1146" s="23"/>
      <c r="AH1146" s="34"/>
      <c r="AI1146" s="34"/>
    </row>
    <row r="1147" spans="4:35" s="2" customFormat="1" ht="27" customHeight="1" x14ac:dyDescent="0.3">
      <c r="D1147" s="23"/>
      <c r="AH1147" s="34"/>
      <c r="AI1147" s="34"/>
    </row>
    <row r="1148" spans="4:35" s="2" customFormat="1" ht="27" customHeight="1" x14ac:dyDescent="0.3">
      <c r="D1148" s="23"/>
      <c r="AH1148" s="34"/>
      <c r="AI1148" s="34"/>
    </row>
    <row r="1149" spans="4:35" s="2" customFormat="1" ht="27" customHeight="1" x14ac:dyDescent="0.3">
      <c r="D1149" s="23"/>
      <c r="AH1149" s="34"/>
      <c r="AI1149" s="34"/>
    </row>
    <row r="1150" spans="4:35" s="2" customFormat="1" ht="27" customHeight="1" x14ac:dyDescent="0.3">
      <c r="D1150" s="23"/>
      <c r="AH1150" s="34"/>
      <c r="AI1150" s="34"/>
    </row>
    <row r="1151" spans="4:35" s="2" customFormat="1" ht="27" customHeight="1" x14ac:dyDescent="0.3">
      <c r="D1151" s="23"/>
      <c r="AH1151" s="34"/>
      <c r="AI1151" s="34"/>
    </row>
    <row r="1152" spans="4:35" s="2" customFormat="1" ht="27" customHeight="1" x14ac:dyDescent="0.3">
      <c r="D1152" s="23"/>
      <c r="AH1152" s="34"/>
      <c r="AI1152" s="34"/>
    </row>
    <row r="1153" spans="4:35" s="2" customFormat="1" ht="27" customHeight="1" x14ac:dyDescent="0.3">
      <c r="D1153" s="23"/>
      <c r="AH1153" s="34"/>
      <c r="AI1153" s="34"/>
    </row>
    <row r="1154" spans="4:35" s="2" customFormat="1" ht="27" customHeight="1" x14ac:dyDescent="0.3">
      <c r="D1154" s="23"/>
      <c r="AH1154" s="34"/>
      <c r="AI1154" s="34"/>
    </row>
    <row r="1155" spans="4:35" s="2" customFormat="1" ht="27" customHeight="1" x14ac:dyDescent="0.3">
      <c r="D1155" s="23"/>
      <c r="AH1155" s="34"/>
      <c r="AI1155" s="34"/>
    </row>
    <row r="1156" spans="4:35" s="2" customFormat="1" ht="27" customHeight="1" x14ac:dyDescent="0.3">
      <c r="D1156" s="23"/>
      <c r="AH1156" s="34"/>
      <c r="AI1156" s="34"/>
    </row>
    <row r="1157" spans="4:35" s="2" customFormat="1" ht="27" customHeight="1" x14ac:dyDescent="0.3">
      <c r="D1157" s="23"/>
      <c r="AH1157" s="34"/>
      <c r="AI1157" s="34"/>
    </row>
    <row r="1158" spans="4:35" s="2" customFormat="1" ht="27" customHeight="1" x14ac:dyDescent="0.3">
      <c r="D1158" s="23"/>
      <c r="AH1158" s="34"/>
      <c r="AI1158" s="34"/>
    </row>
    <row r="1159" spans="4:35" s="2" customFormat="1" ht="27" customHeight="1" x14ac:dyDescent="0.3">
      <c r="D1159" s="23"/>
      <c r="AH1159" s="34"/>
      <c r="AI1159" s="34"/>
    </row>
    <row r="1160" spans="4:35" s="2" customFormat="1" ht="27" customHeight="1" x14ac:dyDescent="0.3">
      <c r="D1160" s="23"/>
      <c r="AH1160" s="34"/>
      <c r="AI1160" s="34"/>
    </row>
    <row r="1161" spans="4:35" s="2" customFormat="1" ht="27" customHeight="1" x14ac:dyDescent="0.3">
      <c r="D1161" s="23"/>
      <c r="AH1161" s="34"/>
      <c r="AI1161" s="34"/>
    </row>
    <row r="1162" spans="4:35" s="2" customFormat="1" ht="27" customHeight="1" x14ac:dyDescent="0.3">
      <c r="D1162" s="23"/>
      <c r="AH1162" s="34"/>
      <c r="AI1162" s="34"/>
    </row>
    <row r="1163" spans="4:35" s="2" customFormat="1" ht="27" customHeight="1" x14ac:dyDescent="0.3">
      <c r="D1163" s="23"/>
      <c r="AH1163" s="34"/>
      <c r="AI1163" s="34"/>
    </row>
    <row r="1164" spans="4:35" s="2" customFormat="1" ht="27" customHeight="1" x14ac:dyDescent="0.3">
      <c r="D1164" s="23"/>
      <c r="AH1164" s="34"/>
      <c r="AI1164" s="34"/>
    </row>
    <row r="1165" spans="4:35" s="2" customFormat="1" ht="27" customHeight="1" x14ac:dyDescent="0.3">
      <c r="D1165" s="23"/>
      <c r="AH1165" s="34"/>
      <c r="AI1165" s="34"/>
    </row>
    <row r="1166" spans="4:35" s="2" customFormat="1" ht="27" customHeight="1" x14ac:dyDescent="0.3">
      <c r="D1166" s="23"/>
      <c r="AH1166" s="34"/>
      <c r="AI1166" s="34"/>
    </row>
    <row r="1167" spans="4:35" s="2" customFormat="1" ht="27" customHeight="1" x14ac:dyDescent="0.3">
      <c r="D1167" s="23"/>
      <c r="AH1167" s="34"/>
      <c r="AI1167" s="34"/>
    </row>
    <row r="1168" spans="4:35" s="2" customFormat="1" ht="27" customHeight="1" x14ac:dyDescent="0.3">
      <c r="D1168" s="23"/>
      <c r="AH1168" s="34"/>
      <c r="AI1168" s="34"/>
    </row>
    <row r="1169" spans="4:35" s="2" customFormat="1" ht="27" customHeight="1" x14ac:dyDescent="0.3">
      <c r="D1169" s="23"/>
      <c r="AH1169" s="34"/>
      <c r="AI1169" s="34"/>
    </row>
    <row r="1170" spans="4:35" s="2" customFormat="1" ht="27" customHeight="1" x14ac:dyDescent="0.3">
      <c r="D1170" s="23"/>
      <c r="AH1170" s="34"/>
      <c r="AI1170" s="34"/>
    </row>
    <row r="1171" spans="4:35" s="2" customFormat="1" ht="27" customHeight="1" x14ac:dyDescent="0.3">
      <c r="D1171" s="23"/>
      <c r="AH1171" s="34"/>
      <c r="AI1171" s="34"/>
    </row>
    <row r="1172" spans="4:35" s="2" customFormat="1" ht="27" customHeight="1" x14ac:dyDescent="0.3">
      <c r="D1172" s="23"/>
      <c r="AH1172" s="34"/>
      <c r="AI1172" s="34"/>
    </row>
    <row r="1173" spans="4:35" s="2" customFormat="1" ht="27" customHeight="1" x14ac:dyDescent="0.3">
      <c r="D1173" s="23"/>
      <c r="AH1173" s="34"/>
      <c r="AI1173" s="34"/>
    </row>
    <row r="1174" spans="4:35" s="2" customFormat="1" ht="27" customHeight="1" x14ac:dyDescent="0.3">
      <c r="D1174" s="23"/>
      <c r="AH1174" s="34"/>
      <c r="AI1174" s="34"/>
    </row>
    <row r="1175" spans="4:35" s="2" customFormat="1" ht="27" customHeight="1" x14ac:dyDescent="0.3">
      <c r="D1175" s="23"/>
      <c r="AH1175" s="34"/>
      <c r="AI1175" s="34"/>
    </row>
    <row r="1176" spans="4:35" s="2" customFormat="1" ht="27" customHeight="1" x14ac:dyDescent="0.3">
      <c r="D1176" s="23"/>
      <c r="AH1176" s="34"/>
      <c r="AI1176" s="34"/>
    </row>
    <row r="1177" spans="4:35" s="2" customFormat="1" ht="27" customHeight="1" x14ac:dyDescent="0.3">
      <c r="D1177" s="23"/>
      <c r="AH1177" s="34"/>
      <c r="AI1177" s="34"/>
    </row>
    <row r="1178" spans="4:35" s="2" customFormat="1" ht="27" customHeight="1" x14ac:dyDescent="0.3">
      <c r="D1178" s="23"/>
      <c r="AH1178" s="34"/>
      <c r="AI1178" s="34"/>
    </row>
    <row r="1179" spans="4:35" s="2" customFormat="1" ht="27" customHeight="1" x14ac:dyDescent="0.3">
      <c r="D1179" s="23"/>
      <c r="AH1179" s="34"/>
      <c r="AI1179" s="34"/>
    </row>
    <row r="1180" spans="4:35" s="2" customFormat="1" ht="27" customHeight="1" x14ac:dyDescent="0.3">
      <c r="D1180" s="23"/>
      <c r="AH1180" s="34"/>
      <c r="AI1180" s="34"/>
    </row>
    <row r="1181" spans="4:35" s="2" customFormat="1" ht="27" customHeight="1" x14ac:dyDescent="0.3">
      <c r="D1181" s="23"/>
      <c r="AH1181" s="34"/>
      <c r="AI1181" s="34"/>
    </row>
    <row r="1182" spans="4:35" s="2" customFormat="1" ht="27" customHeight="1" x14ac:dyDescent="0.3">
      <c r="D1182" s="23"/>
      <c r="AH1182" s="34"/>
      <c r="AI1182" s="34"/>
    </row>
    <row r="1183" spans="4:35" s="2" customFormat="1" ht="27" customHeight="1" x14ac:dyDescent="0.3">
      <c r="D1183" s="23"/>
      <c r="AH1183" s="34"/>
      <c r="AI1183" s="34"/>
    </row>
    <row r="1184" spans="4:35" s="2" customFormat="1" ht="27" customHeight="1" x14ac:dyDescent="0.3">
      <c r="D1184" s="23"/>
      <c r="AH1184" s="34"/>
      <c r="AI1184" s="34"/>
    </row>
    <row r="1185" spans="4:35" s="2" customFormat="1" ht="27" customHeight="1" x14ac:dyDescent="0.3">
      <c r="D1185" s="23"/>
      <c r="AH1185" s="34"/>
      <c r="AI1185" s="34"/>
    </row>
    <row r="1186" spans="4:35" s="2" customFormat="1" ht="27" customHeight="1" x14ac:dyDescent="0.3">
      <c r="D1186" s="23"/>
      <c r="AH1186" s="34"/>
      <c r="AI1186" s="34"/>
    </row>
    <row r="1187" spans="4:35" s="2" customFormat="1" ht="27" customHeight="1" x14ac:dyDescent="0.3">
      <c r="D1187" s="23"/>
      <c r="AH1187" s="34"/>
      <c r="AI1187" s="34"/>
    </row>
    <row r="1188" spans="4:35" s="2" customFormat="1" ht="27" customHeight="1" x14ac:dyDescent="0.3">
      <c r="D1188" s="23"/>
      <c r="AH1188" s="34"/>
      <c r="AI1188" s="34"/>
    </row>
    <row r="1189" spans="4:35" s="2" customFormat="1" ht="27" customHeight="1" x14ac:dyDescent="0.3">
      <c r="D1189" s="23"/>
      <c r="AH1189" s="34"/>
      <c r="AI1189" s="34"/>
    </row>
    <row r="1190" spans="4:35" s="2" customFormat="1" ht="27" customHeight="1" x14ac:dyDescent="0.3">
      <c r="D1190" s="23"/>
      <c r="AH1190" s="34"/>
      <c r="AI1190" s="34"/>
    </row>
    <row r="1191" spans="4:35" s="2" customFormat="1" ht="27" customHeight="1" x14ac:dyDescent="0.3">
      <c r="D1191" s="23"/>
      <c r="AH1191" s="34"/>
      <c r="AI1191" s="34"/>
    </row>
    <row r="1192" spans="4:35" s="2" customFormat="1" ht="27" customHeight="1" x14ac:dyDescent="0.3">
      <c r="D1192" s="23"/>
      <c r="AH1192" s="34"/>
      <c r="AI1192" s="34"/>
    </row>
    <row r="1193" spans="4:35" s="2" customFormat="1" ht="27" customHeight="1" x14ac:dyDescent="0.3">
      <c r="D1193" s="23"/>
      <c r="AH1193" s="34"/>
      <c r="AI1193" s="34"/>
    </row>
    <row r="1194" spans="4:35" s="2" customFormat="1" ht="27" customHeight="1" x14ac:dyDescent="0.3">
      <c r="D1194" s="23"/>
      <c r="AH1194" s="34"/>
      <c r="AI1194" s="34"/>
    </row>
    <row r="1195" spans="4:35" s="2" customFormat="1" ht="27" customHeight="1" x14ac:dyDescent="0.3">
      <c r="D1195" s="23"/>
      <c r="AH1195" s="34"/>
      <c r="AI1195" s="34"/>
    </row>
    <row r="1196" spans="4:35" s="2" customFormat="1" ht="27" customHeight="1" x14ac:dyDescent="0.3">
      <c r="D1196" s="23"/>
      <c r="AH1196" s="34"/>
      <c r="AI1196" s="34"/>
    </row>
    <row r="1197" spans="4:35" s="2" customFormat="1" ht="27" customHeight="1" x14ac:dyDescent="0.3">
      <c r="D1197" s="23"/>
      <c r="AH1197" s="34"/>
      <c r="AI1197" s="34"/>
    </row>
    <row r="1198" spans="4:35" s="2" customFormat="1" ht="27" customHeight="1" x14ac:dyDescent="0.3">
      <c r="D1198" s="23"/>
      <c r="AH1198" s="34"/>
      <c r="AI1198" s="34"/>
    </row>
    <row r="1199" spans="4:35" s="2" customFormat="1" ht="27" customHeight="1" x14ac:dyDescent="0.3">
      <c r="D1199" s="23"/>
      <c r="AH1199" s="34"/>
      <c r="AI1199" s="34"/>
    </row>
    <row r="1200" spans="4:35" s="2" customFormat="1" ht="27" customHeight="1" x14ac:dyDescent="0.3">
      <c r="D1200" s="23"/>
      <c r="AH1200" s="34"/>
      <c r="AI1200" s="34"/>
    </row>
    <row r="1201" spans="4:35" s="2" customFormat="1" ht="27" customHeight="1" x14ac:dyDescent="0.3">
      <c r="D1201" s="23"/>
      <c r="AH1201" s="34"/>
      <c r="AI1201" s="34"/>
    </row>
    <row r="1202" spans="4:35" s="2" customFormat="1" ht="27" customHeight="1" x14ac:dyDescent="0.3">
      <c r="D1202" s="23"/>
      <c r="AH1202" s="34"/>
      <c r="AI1202" s="34"/>
    </row>
    <row r="1203" spans="4:35" s="2" customFormat="1" ht="27" customHeight="1" x14ac:dyDescent="0.3">
      <c r="D1203" s="23"/>
      <c r="AH1203" s="34"/>
      <c r="AI1203" s="34"/>
    </row>
    <row r="1204" spans="4:35" s="2" customFormat="1" ht="27" customHeight="1" x14ac:dyDescent="0.3">
      <c r="D1204" s="23"/>
      <c r="AH1204" s="34"/>
      <c r="AI1204" s="34"/>
    </row>
    <row r="1205" spans="4:35" s="2" customFormat="1" ht="27" customHeight="1" x14ac:dyDescent="0.3">
      <c r="D1205" s="23"/>
      <c r="AH1205" s="34"/>
      <c r="AI1205" s="34"/>
    </row>
    <row r="1206" spans="4:35" s="2" customFormat="1" ht="27" customHeight="1" x14ac:dyDescent="0.3">
      <c r="D1206" s="23"/>
      <c r="AH1206" s="34"/>
      <c r="AI1206" s="34"/>
    </row>
    <row r="1207" spans="4:35" s="2" customFormat="1" ht="27" customHeight="1" x14ac:dyDescent="0.3">
      <c r="D1207" s="23"/>
      <c r="AH1207" s="34"/>
      <c r="AI1207" s="34"/>
    </row>
    <row r="1208" spans="4:35" s="2" customFormat="1" ht="27" customHeight="1" x14ac:dyDescent="0.3">
      <c r="D1208" s="23"/>
      <c r="AH1208" s="34"/>
      <c r="AI1208" s="34"/>
    </row>
    <row r="1209" spans="4:35" s="2" customFormat="1" ht="27" customHeight="1" x14ac:dyDescent="0.3">
      <c r="D1209" s="23"/>
      <c r="AH1209" s="34"/>
      <c r="AI1209" s="34"/>
    </row>
    <row r="1210" spans="4:35" s="2" customFormat="1" ht="27" customHeight="1" x14ac:dyDescent="0.3">
      <c r="D1210" s="23"/>
      <c r="AH1210" s="34"/>
      <c r="AI1210" s="34"/>
    </row>
    <row r="1211" spans="4:35" s="2" customFormat="1" ht="27" customHeight="1" x14ac:dyDescent="0.3">
      <c r="D1211" s="23"/>
      <c r="AH1211" s="34"/>
      <c r="AI1211" s="34"/>
    </row>
    <row r="1212" spans="4:35" s="2" customFormat="1" ht="27" customHeight="1" x14ac:dyDescent="0.3">
      <c r="D1212" s="23"/>
      <c r="AH1212" s="34"/>
      <c r="AI1212" s="34"/>
    </row>
    <row r="1213" spans="4:35" s="2" customFormat="1" ht="27" customHeight="1" x14ac:dyDescent="0.3">
      <c r="D1213" s="23"/>
      <c r="AH1213" s="34"/>
      <c r="AI1213" s="34"/>
    </row>
    <row r="1214" spans="4:35" s="2" customFormat="1" ht="27" customHeight="1" x14ac:dyDescent="0.3">
      <c r="D1214" s="23"/>
      <c r="AH1214" s="34"/>
      <c r="AI1214" s="34"/>
    </row>
    <row r="1215" spans="4:35" s="2" customFormat="1" ht="27" customHeight="1" x14ac:dyDescent="0.3">
      <c r="D1215" s="23"/>
      <c r="AH1215" s="34"/>
      <c r="AI1215" s="34"/>
    </row>
    <row r="1216" spans="4:35" s="2" customFormat="1" ht="27" customHeight="1" x14ac:dyDescent="0.3">
      <c r="D1216" s="23"/>
      <c r="AH1216" s="34"/>
      <c r="AI1216" s="34"/>
    </row>
    <row r="1217" spans="4:35" s="2" customFormat="1" ht="27" customHeight="1" x14ac:dyDescent="0.3">
      <c r="D1217" s="23"/>
      <c r="AH1217" s="34"/>
      <c r="AI1217" s="34"/>
    </row>
    <row r="1218" spans="4:35" s="2" customFormat="1" ht="27" customHeight="1" x14ac:dyDescent="0.3">
      <c r="D1218" s="23"/>
      <c r="AH1218" s="34"/>
      <c r="AI1218" s="34"/>
    </row>
    <row r="1219" spans="4:35" s="2" customFormat="1" ht="27" customHeight="1" x14ac:dyDescent="0.3">
      <c r="D1219" s="23"/>
      <c r="AH1219" s="34"/>
      <c r="AI1219" s="34"/>
    </row>
    <row r="1220" spans="4:35" s="2" customFormat="1" ht="27" customHeight="1" x14ac:dyDescent="0.3">
      <c r="D1220" s="23"/>
      <c r="AH1220" s="34"/>
      <c r="AI1220" s="34"/>
    </row>
    <row r="1221" spans="4:35" s="2" customFormat="1" ht="27" customHeight="1" x14ac:dyDescent="0.3">
      <c r="D1221" s="23"/>
      <c r="AH1221" s="34"/>
      <c r="AI1221" s="34"/>
    </row>
    <row r="1222" spans="4:35" s="2" customFormat="1" ht="27" customHeight="1" x14ac:dyDescent="0.3">
      <c r="D1222" s="23"/>
      <c r="AH1222" s="34"/>
      <c r="AI1222" s="34"/>
    </row>
    <row r="1223" spans="4:35" s="2" customFormat="1" ht="27" customHeight="1" x14ac:dyDescent="0.3">
      <c r="D1223" s="23"/>
      <c r="AH1223" s="34"/>
      <c r="AI1223" s="34"/>
    </row>
    <row r="1224" spans="4:35" s="2" customFormat="1" ht="27" customHeight="1" x14ac:dyDescent="0.3">
      <c r="D1224" s="23"/>
      <c r="AH1224" s="34"/>
      <c r="AI1224" s="34"/>
    </row>
    <row r="1225" spans="4:35" s="2" customFormat="1" ht="27" customHeight="1" x14ac:dyDescent="0.3">
      <c r="D1225" s="23"/>
      <c r="AH1225" s="34"/>
      <c r="AI1225" s="34"/>
    </row>
    <row r="1226" spans="4:35" s="2" customFormat="1" ht="27" customHeight="1" x14ac:dyDescent="0.3">
      <c r="D1226" s="23"/>
      <c r="AH1226" s="34"/>
      <c r="AI1226" s="34"/>
    </row>
    <row r="1227" spans="4:35" s="2" customFormat="1" ht="27" customHeight="1" x14ac:dyDescent="0.3">
      <c r="D1227" s="23"/>
      <c r="AH1227" s="34"/>
      <c r="AI1227" s="34"/>
    </row>
    <row r="1228" spans="4:35" s="2" customFormat="1" ht="27" customHeight="1" x14ac:dyDescent="0.3">
      <c r="D1228" s="23"/>
      <c r="AH1228" s="34"/>
      <c r="AI1228" s="34"/>
    </row>
    <row r="1229" spans="4:35" s="2" customFormat="1" ht="27" customHeight="1" x14ac:dyDescent="0.3">
      <c r="D1229" s="23"/>
      <c r="AH1229" s="34"/>
      <c r="AI1229" s="34"/>
    </row>
    <row r="1230" spans="4:35" s="2" customFormat="1" ht="27" customHeight="1" x14ac:dyDescent="0.3">
      <c r="D1230" s="23"/>
      <c r="AH1230" s="34"/>
      <c r="AI1230" s="34"/>
    </row>
    <row r="1231" spans="4:35" s="2" customFormat="1" ht="27" customHeight="1" x14ac:dyDescent="0.3">
      <c r="D1231" s="23"/>
      <c r="AH1231" s="34"/>
      <c r="AI1231" s="34"/>
    </row>
    <row r="1232" spans="4:35" s="2" customFormat="1" ht="27" customHeight="1" x14ac:dyDescent="0.3">
      <c r="D1232" s="23"/>
      <c r="AH1232" s="34"/>
      <c r="AI1232" s="34"/>
    </row>
    <row r="1233" spans="4:35" s="2" customFormat="1" ht="27" customHeight="1" x14ac:dyDescent="0.3">
      <c r="D1233" s="23"/>
      <c r="AH1233" s="34"/>
      <c r="AI1233" s="34"/>
    </row>
    <row r="1234" spans="4:35" s="2" customFormat="1" ht="27" customHeight="1" x14ac:dyDescent="0.3">
      <c r="D1234" s="23"/>
      <c r="AH1234" s="34"/>
      <c r="AI1234" s="34"/>
    </row>
    <row r="1235" spans="4:35" s="2" customFormat="1" ht="27" customHeight="1" x14ac:dyDescent="0.3">
      <c r="D1235" s="23"/>
      <c r="AH1235" s="34"/>
      <c r="AI1235" s="34"/>
    </row>
    <row r="1236" spans="4:35" s="2" customFormat="1" ht="27" customHeight="1" x14ac:dyDescent="0.3">
      <c r="D1236" s="23"/>
      <c r="AH1236" s="34"/>
      <c r="AI1236" s="34"/>
    </row>
    <row r="1237" spans="4:35" s="2" customFormat="1" ht="27" customHeight="1" x14ac:dyDescent="0.3">
      <c r="D1237" s="23"/>
      <c r="AH1237" s="34"/>
      <c r="AI1237" s="34"/>
    </row>
    <row r="1238" spans="4:35" s="2" customFormat="1" ht="27" customHeight="1" x14ac:dyDescent="0.3">
      <c r="D1238" s="23"/>
      <c r="AH1238" s="34"/>
      <c r="AI1238" s="34"/>
    </row>
    <row r="1239" spans="4:35" s="2" customFormat="1" ht="27" customHeight="1" x14ac:dyDescent="0.3">
      <c r="D1239" s="23"/>
      <c r="AH1239" s="34"/>
      <c r="AI1239" s="34"/>
    </row>
    <row r="1240" spans="4:35" s="2" customFormat="1" ht="27" customHeight="1" x14ac:dyDescent="0.3">
      <c r="D1240" s="23"/>
      <c r="AH1240" s="34"/>
      <c r="AI1240" s="34"/>
    </row>
    <row r="1241" spans="4:35" s="2" customFormat="1" ht="27" customHeight="1" x14ac:dyDescent="0.3">
      <c r="D1241" s="23"/>
      <c r="AH1241" s="34"/>
      <c r="AI1241" s="34"/>
    </row>
    <row r="1242" spans="4:35" s="2" customFormat="1" ht="27" customHeight="1" x14ac:dyDescent="0.3">
      <c r="D1242" s="23"/>
      <c r="AH1242" s="34"/>
      <c r="AI1242" s="34"/>
    </row>
    <row r="1243" spans="4:35" s="2" customFormat="1" ht="27" customHeight="1" x14ac:dyDescent="0.3">
      <c r="D1243" s="23"/>
      <c r="AH1243" s="34"/>
      <c r="AI1243" s="34"/>
    </row>
    <row r="1244" spans="4:35" s="2" customFormat="1" ht="27" customHeight="1" x14ac:dyDescent="0.3">
      <c r="D1244" s="23"/>
      <c r="AH1244" s="34"/>
      <c r="AI1244" s="34"/>
    </row>
    <row r="1245" spans="4:35" s="2" customFormat="1" ht="27" customHeight="1" x14ac:dyDescent="0.3">
      <c r="D1245" s="23"/>
      <c r="AH1245" s="34"/>
      <c r="AI1245" s="34"/>
    </row>
    <row r="1246" spans="4:35" s="2" customFormat="1" ht="27" customHeight="1" x14ac:dyDescent="0.3">
      <c r="D1246" s="23"/>
      <c r="AH1246" s="34"/>
      <c r="AI1246" s="34"/>
    </row>
    <row r="1247" spans="4:35" s="2" customFormat="1" ht="27" customHeight="1" x14ac:dyDescent="0.3">
      <c r="D1247" s="23"/>
      <c r="AH1247" s="34"/>
      <c r="AI1247" s="34"/>
    </row>
    <row r="1248" spans="4:35" s="2" customFormat="1" ht="27" customHeight="1" x14ac:dyDescent="0.3">
      <c r="D1248" s="23"/>
      <c r="AH1248" s="34"/>
      <c r="AI1248" s="34"/>
    </row>
    <row r="1249" spans="4:35" s="2" customFormat="1" ht="27" customHeight="1" x14ac:dyDescent="0.3">
      <c r="D1249" s="23"/>
      <c r="AH1249" s="34"/>
      <c r="AI1249" s="34"/>
    </row>
    <row r="1250" spans="4:35" s="2" customFormat="1" ht="27" customHeight="1" x14ac:dyDescent="0.3">
      <c r="D1250" s="23"/>
      <c r="AH1250" s="34"/>
      <c r="AI1250" s="34"/>
    </row>
    <row r="1251" spans="4:35" s="2" customFormat="1" ht="27" customHeight="1" x14ac:dyDescent="0.3">
      <c r="D1251" s="23"/>
      <c r="AH1251" s="34"/>
      <c r="AI1251" s="34"/>
    </row>
    <row r="1252" spans="4:35" s="2" customFormat="1" ht="27" customHeight="1" x14ac:dyDescent="0.3">
      <c r="D1252" s="23"/>
      <c r="AH1252" s="34"/>
      <c r="AI1252" s="34"/>
    </row>
    <row r="1253" spans="4:35" s="2" customFormat="1" ht="27" customHeight="1" x14ac:dyDescent="0.3">
      <c r="D1253" s="23"/>
      <c r="AH1253" s="34"/>
      <c r="AI1253" s="34"/>
    </row>
    <row r="1254" spans="4:35" s="2" customFormat="1" ht="27" customHeight="1" x14ac:dyDescent="0.3">
      <c r="D1254" s="23"/>
      <c r="AH1254" s="34"/>
      <c r="AI1254" s="34"/>
    </row>
    <row r="1255" spans="4:35" s="2" customFormat="1" ht="27" customHeight="1" x14ac:dyDescent="0.3">
      <c r="D1255" s="23"/>
      <c r="AH1255" s="34"/>
      <c r="AI1255" s="34"/>
    </row>
    <row r="1256" spans="4:35" s="2" customFormat="1" ht="27" customHeight="1" x14ac:dyDescent="0.3">
      <c r="D1256" s="23"/>
      <c r="AH1256" s="34"/>
      <c r="AI1256" s="34"/>
    </row>
    <row r="1257" spans="4:35" s="2" customFormat="1" ht="27" customHeight="1" x14ac:dyDescent="0.3">
      <c r="D1257" s="23"/>
      <c r="AH1257" s="34"/>
      <c r="AI1257" s="34"/>
    </row>
    <row r="1258" spans="4:35" s="2" customFormat="1" ht="27" customHeight="1" x14ac:dyDescent="0.3">
      <c r="D1258" s="23"/>
      <c r="AH1258" s="34"/>
      <c r="AI1258" s="34"/>
    </row>
    <row r="1259" spans="4:35" s="2" customFormat="1" ht="27" customHeight="1" x14ac:dyDescent="0.3">
      <c r="D1259" s="23"/>
      <c r="AH1259" s="34"/>
      <c r="AI1259" s="34"/>
    </row>
    <row r="1260" spans="4:35" s="2" customFormat="1" ht="27" customHeight="1" x14ac:dyDescent="0.3">
      <c r="D1260" s="23"/>
      <c r="AH1260" s="34"/>
      <c r="AI1260" s="34"/>
    </row>
    <row r="1261" spans="4:35" s="2" customFormat="1" ht="27" customHeight="1" x14ac:dyDescent="0.3">
      <c r="D1261" s="23"/>
      <c r="AH1261" s="34"/>
      <c r="AI1261" s="34"/>
    </row>
    <row r="1262" spans="4:35" s="2" customFormat="1" ht="27" customHeight="1" x14ac:dyDescent="0.3">
      <c r="D1262" s="23"/>
      <c r="AH1262" s="34"/>
      <c r="AI1262" s="34"/>
    </row>
    <row r="1263" spans="4:35" s="2" customFormat="1" ht="27" customHeight="1" x14ac:dyDescent="0.3">
      <c r="D1263" s="23"/>
      <c r="AH1263" s="34"/>
      <c r="AI1263" s="34"/>
    </row>
    <row r="1264" spans="4:35" s="2" customFormat="1" ht="27" customHeight="1" x14ac:dyDescent="0.3">
      <c r="D1264" s="23"/>
      <c r="AH1264" s="34"/>
      <c r="AI1264" s="34"/>
    </row>
    <row r="1265" spans="4:35" s="2" customFormat="1" ht="27" customHeight="1" x14ac:dyDescent="0.3">
      <c r="D1265" s="23"/>
      <c r="AH1265" s="34"/>
      <c r="AI1265" s="34"/>
    </row>
    <row r="1266" spans="4:35" s="2" customFormat="1" ht="27" customHeight="1" x14ac:dyDescent="0.3">
      <c r="D1266" s="23"/>
      <c r="AH1266" s="34"/>
      <c r="AI1266" s="34"/>
    </row>
    <row r="1267" spans="4:35" s="2" customFormat="1" ht="27" customHeight="1" x14ac:dyDescent="0.3">
      <c r="D1267" s="23"/>
      <c r="AH1267" s="34"/>
      <c r="AI1267" s="34"/>
    </row>
    <row r="1268" spans="4:35" s="2" customFormat="1" ht="27" customHeight="1" x14ac:dyDescent="0.3">
      <c r="D1268" s="23"/>
      <c r="AH1268" s="34"/>
      <c r="AI1268" s="34"/>
    </row>
    <row r="1269" spans="4:35" s="2" customFormat="1" ht="27" customHeight="1" x14ac:dyDescent="0.3">
      <c r="D1269" s="23"/>
      <c r="AH1269" s="34"/>
      <c r="AI1269" s="34"/>
    </row>
    <row r="1270" spans="4:35" s="2" customFormat="1" ht="27" customHeight="1" x14ac:dyDescent="0.3">
      <c r="D1270" s="23"/>
      <c r="AH1270" s="34"/>
      <c r="AI1270" s="34"/>
    </row>
    <row r="1271" spans="4:35" s="2" customFormat="1" ht="27" customHeight="1" x14ac:dyDescent="0.3">
      <c r="D1271" s="23"/>
      <c r="AH1271" s="34"/>
      <c r="AI1271" s="34"/>
    </row>
    <row r="1272" spans="4:35" s="2" customFormat="1" ht="27" customHeight="1" x14ac:dyDescent="0.3">
      <c r="D1272" s="23"/>
      <c r="AH1272" s="34"/>
      <c r="AI1272" s="34"/>
    </row>
    <row r="1273" spans="4:35" s="2" customFormat="1" ht="27" customHeight="1" x14ac:dyDescent="0.3">
      <c r="D1273" s="23"/>
      <c r="AH1273" s="34"/>
      <c r="AI1273" s="34"/>
    </row>
    <row r="1274" spans="4:35" s="2" customFormat="1" ht="27" customHeight="1" x14ac:dyDescent="0.3">
      <c r="D1274" s="23"/>
      <c r="AH1274" s="34"/>
      <c r="AI1274" s="34"/>
    </row>
    <row r="1275" spans="4:35" s="2" customFormat="1" ht="27" customHeight="1" x14ac:dyDescent="0.3">
      <c r="D1275" s="23"/>
      <c r="AH1275" s="34"/>
      <c r="AI1275" s="34"/>
    </row>
    <row r="1276" spans="4:35" s="2" customFormat="1" ht="27" customHeight="1" x14ac:dyDescent="0.3">
      <c r="D1276" s="23"/>
      <c r="AH1276" s="34"/>
      <c r="AI1276" s="34"/>
    </row>
    <row r="1277" spans="4:35" s="2" customFormat="1" ht="27" customHeight="1" x14ac:dyDescent="0.3">
      <c r="D1277" s="23"/>
      <c r="AH1277" s="34"/>
      <c r="AI1277" s="34"/>
    </row>
    <row r="1278" spans="4:35" s="2" customFormat="1" ht="27" customHeight="1" x14ac:dyDescent="0.3">
      <c r="D1278" s="23"/>
      <c r="AH1278" s="34"/>
      <c r="AI1278" s="34"/>
    </row>
    <row r="1279" spans="4:35" s="2" customFormat="1" ht="27" customHeight="1" x14ac:dyDescent="0.3">
      <c r="D1279" s="23"/>
      <c r="AH1279" s="34"/>
      <c r="AI1279" s="34"/>
    </row>
    <row r="1280" spans="4:35" s="2" customFormat="1" ht="27" customHeight="1" x14ac:dyDescent="0.3">
      <c r="D1280" s="23"/>
      <c r="AH1280" s="34"/>
      <c r="AI1280" s="34"/>
    </row>
    <row r="1281" spans="4:35" s="2" customFormat="1" ht="27" customHeight="1" x14ac:dyDescent="0.3">
      <c r="D1281" s="23"/>
      <c r="AH1281" s="34"/>
      <c r="AI1281" s="34"/>
    </row>
    <row r="1282" spans="4:35" s="2" customFormat="1" ht="27" customHeight="1" x14ac:dyDescent="0.3">
      <c r="D1282" s="23"/>
      <c r="AH1282" s="34"/>
      <c r="AI1282" s="34"/>
    </row>
    <row r="1283" spans="4:35" s="2" customFormat="1" ht="27" customHeight="1" x14ac:dyDescent="0.3">
      <c r="D1283" s="23"/>
      <c r="AH1283" s="34"/>
      <c r="AI1283" s="34"/>
    </row>
    <row r="1284" spans="4:35" s="2" customFormat="1" ht="27" customHeight="1" x14ac:dyDescent="0.3">
      <c r="D1284" s="23"/>
      <c r="AH1284" s="34"/>
      <c r="AI1284" s="34"/>
    </row>
    <row r="1285" spans="4:35" s="2" customFormat="1" ht="27" customHeight="1" x14ac:dyDescent="0.3">
      <c r="D1285" s="23"/>
      <c r="AH1285" s="34"/>
      <c r="AI1285" s="34"/>
    </row>
    <row r="1286" spans="4:35" s="2" customFormat="1" ht="27" customHeight="1" x14ac:dyDescent="0.3">
      <c r="D1286" s="23"/>
      <c r="AH1286" s="34"/>
      <c r="AI1286" s="34"/>
    </row>
    <row r="1287" spans="4:35" s="2" customFormat="1" ht="27" customHeight="1" x14ac:dyDescent="0.3">
      <c r="D1287" s="23"/>
      <c r="AH1287" s="34"/>
      <c r="AI1287" s="34"/>
    </row>
    <row r="1288" spans="4:35" s="2" customFormat="1" ht="27" customHeight="1" x14ac:dyDescent="0.3">
      <c r="D1288" s="23"/>
      <c r="AH1288" s="34"/>
      <c r="AI1288" s="34"/>
    </row>
    <row r="1289" spans="4:35" s="2" customFormat="1" ht="27" customHeight="1" x14ac:dyDescent="0.3">
      <c r="D1289" s="23"/>
      <c r="AH1289" s="34"/>
      <c r="AI1289" s="34"/>
    </row>
    <row r="1290" spans="4:35" s="2" customFormat="1" ht="27" customHeight="1" x14ac:dyDescent="0.3">
      <c r="D1290" s="23"/>
      <c r="AH1290" s="34"/>
      <c r="AI1290" s="34"/>
    </row>
    <row r="1291" spans="4:35" s="2" customFormat="1" ht="27" customHeight="1" x14ac:dyDescent="0.3">
      <c r="D1291" s="23"/>
      <c r="AH1291" s="34"/>
      <c r="AI1291" s="34"/>
    </row>
    <row r="1292" spans="4:35" s="2" customFormat="1" ht="27" customHeight="1" x14ac:dyDescent="0.3">
      <c r="D1292" s="23"/>
      <c r="AH1292" s="34"/>
      <c r="AI1292" s="34"/>
    </row>
    <row r="1293" spans="4:35" s="2" customFormat="1" ht="27" customHeight="1" x14ac:dyDescent="0.3">
      <c r="D1293" s="23"/>
      <c r="AH1293" s="34"/>
      <c r="AI1293" s="34"/>
    </row>
    <row r="1294" spans="4:35" s="2" customFormat="1" ht="27" customHeight="1" x14ac:dyDescent="0.3">
      <c r="D1294" s="23"/>
      <c r="AH1294" s="34"/>
      <c r="AI1294" s="34"/>
    </row>
    <row r="1295" spans="4:35" s="2" customFormat="1" ht="27" customHeight="1" x14ac:dyDescent="0.3">
      <c r="D1295" s="23"/>
      <c r="AH1295" s="34"/>
      <c r="AI1295" s="34"/>
    </row>
    <row r="1296" spans="4:35" s="2" customFormat="1" ht="27" customHeight="1" x14ac:dyDescent="0.3">
      <c r="D1296" s="23"/>
      <c r="AH1296" s="34"/>
      <c r="AI1296" s="34"/>
    </row>
    <row r="1297" spans="4:35" s="2" customFormat="1" ht="27" customHeight="1" x14ac:dyDescent="0.3">
      <c r="D1297" s="23"/>
      <c r="AH1297" s="34"/>
      <c r="AI1297" s="34"/>
    </row>
    <row r="1298" spans="4:35" s="2" customFormat="1" ht="27" customHeight="1" x14ac:dyDescent="0.3">
      <c r="D1298" s="23"/>
      <c r="AH1298" s="34"/>
      <c r="AI1298" s="34"/>
    </row>
    <row r="1299" spans="4:35" s="2" customFormat="1" ht="27" customHeight="1" x14ac:dyDescent="0.3">
      <c r="D1299" s="23"/>
      <c r="AH1299" s="34"/>
      <c r="AI1299" s="34"/>
    </row>
    <row r="1300" spans="4:35" s="2" customFormat="1" ht="27" customHeight="1" x14ac:dyDescent="0.3">
      <c r="D1300" s="23"/>
      <c r="AH1300" s="34"/>
      <c r="AI1300" s="34"/>
    </row>
    <row r="1301" spans="4:35" s="2" customFormat="1" ht="27" customHeight="1" x14ac:dyDescent="0.3">
      <c r="D1301" s="23"/>
      <c r="AH1301" s="34"/>
      <c r="AI1301" s="34"/>
    </row>
    <row r="1302" spans="4:35" s="2" customFormat="1" ht="27" customHeight="1" x14ac:dyDescent="0.3">
      <c r="D1302" s="23"/>
      <c r="AH1302" s="34"/>
      <c r="AI1302" s="34"/>
    </row>
    <row r="1303" spans="4:35" s="2" customFormat="1" ht="27" customHeight="1" x14ac:dyDescent="0.3">
      <c r="D1303" s="23"/>
      <c r="AH1303" s="34"/>
      <c r="AI1303" s="34"/>
    </row>
    <row r="1304" spans="4:35" s="2" customFormat="1" ht="27" customHeight="1" x14ac:dyDescent="0.3">
      <c r="D1304" s="23"/>
      <c r="AH1304" s="34"/>
      <c r="AI1304" s="34"/>
    </row>
    <row r="1305" spans="4:35" s="2" customFormat="1" ht="27" customHeight="1" x14ac:dyDescent="0.3">
      <c r="D1305" s="23"/>
      <c r="AH1305" s="34"/>
      <c r="AI1305" s="34"/>
    </row>
    <row r="1306" spans="4:35" s="2" customFormat="1" ht="27" customHeight="1" x14ac:dyDescent="0.3">
      <c r="D1306" s="23"/>
      <c r="AH1306" s="34"/>
      <c r="AI1306" s="34"/>
    </row>
    <row r="1307" spans="4:35" s="2" customFormat="1" ht="27" customHeight="1" x14ac:dyDescent="0.3">
      <c r="D1307" s="23"/>
      <c r="AH1307" s="34"/>
      <c r="AI1307" s="34"/>
    </row>
    <row r="1308" spans="4:35" s="2" customFormat="1" ht="27" customHeight="1" x14ac:dyDescent="0.3">
      <c r="D1308" s="23"/>
      <c r="AH1308" s="34"/>
      <c r="AI1308" s="34"/>
    </row>
    <row r="1309" spans="4:35" s="2" customFormat="1" ht="27" customHeight="1" x14ac:dyDescent="0.3">
      <c r="D1309" s="23"/>
      <c r="AH1309" s="34"/>
      <c r="AI1309" s="34"/>
    </row>
    <row r="1310" spans="4:35" s="2" customFormat="1" ht="27" customHeight="1" x14ac:dyDescent="0.3">
      <c r="D1310" s="23"/>
      <c r="AH1310" s="34"/>
      <c r="AI1310" s="34"/>
    </row>
    <row r="1311" spans="4:35" s="2" customFormat="1" ht="27" customHeight="1" x14ac:dyDescent="0.3">
      <c r="D1311" s="23"/>
      <c r="AH1311" s="34"/>
      <c r="AI1311" s="34"/>
    </row>
    <row r="1312" spans="4:35" s="2" customFormat="1" ht="27" customHeight="1" x14ac:dyDescent="0.3">
      <c r="D1312" s="23"/>
      <c r="AH1312" s="34"/>
      <c r="AI1312" s="34"/>
    </row>
    <row r="1313" spans="4:35" s="2" customFormat="1" ht="27" customHeight="1" x14ac:dyDescent="0.3">
      <c r="D1313" s="23"/>
      <c r="AH1313" s="34"/>
      <c r="AI1313" s="34"/>
    </row>
    <row r="1314" spans="4:35" s="2" customFormat="1" ht="27" customHeight="1" x14ac:dyDescent="0.3">
      <c r="D1314" s="23"/>
      <c r="AH1314" s="34"/>
      <c r="AI1314" s="34"/>
    </row>
    <row r="1315" spans="4:35" s="2" customFormat="1" ht="27" customHeight="1" x14ac:dyDescent="0.3">
      <c r="D1315" s="23"/>
      <c r="AH1315" s="34"/>
      <c r="AI1315" s="34"/>
    </row>
    <row r="1316" spans="4:35" s="2" customFormat="1" ht="27" customHeight="1" x14ac:dyDescent="0.3">
      <c r="D1316" s="23"/>
      <c r="AH1316" s="34"/>
      <c r="AI1316" s="34"/>
    </row>
    <row r="1317" spans="4:35" s="2" customFormat="1" ht="27" customHeight="1" x14ac:dyDescent="0.3">
      <c r="D1317" s="23"/>
      <c r="AH1317" s="34"/>
      <c r="AI1317" s="34"/>
    </row>
    <row r="1318" spans="4:35" s="2" customFormat="1" ht="27" customHeight="1" x14ac:dyDescent="0.3">
      <c r="D1318" s="23"/>
      <c r="AH1318" s="34"/>
      <c r="AI1318" s="34"/>
    </row>
    <row r="1319" spans="4:35" s="2" customFormat="1" ht="27" customHeight="1" x14ac:dyDescent="0.3">
      <c r="D1319" s="23"/>
      <c r="AH1319" s="34"/>
      <c r="AI1319" s="34"/>
    </row>
    <row r="1320" spans="4:35" s="2" customFormat="1" ht="27" customHeight="1" x14ac:dyDescent="0.3">
      <c r="D1320" s="23"/>
      <c r="AH1320" s="34"/>
      <c r="AI1320" s="34"/>
    </row>
    <row r="1321" spans="4:35" s="2" customFormat="1" ht="27" customHeight="1" x14ac:dyDescent="0.3">
      <c r="D1321" s="23"/>
      <c r="AH1321" s="34"/>
      <c r="AI1321" s="34"/>
    </row>
    <row r="1322" spans="4:35" s="2" customFormat="1" ht="27" customHeight="1" x14ac:dyDescent="0.3">
      <c r="D1322" s="23"/>
      <c r="AH1322" s="34"/>
      <c r="AI1322" s="34"/>
    </row>
    <row r="1323" spans="4:35" s="2" customFormat="1" ht="27" customHeight="1" x14ac:dyDescent="0.3">
      <c r="D1323" s="23"/>
      <c r="AH1323" s="34"/>
      <c r="AI1323" s="34"/>
    </row>
    <row r="1324" spans="4:35" s="2" customFormat="1" ht="27" customHeight="1" x14ac:dyDescent="0.3">
      <c r="D1324" s="23"/>
      <c r="AH1324" s="34"/>
      <c r="AI1324" s="34"/>
    </row>
    <row r="1325" spans="4:35" s="2" customFormat="1" ht="27" customHeight="1" x14ac:dyDescent="0.3">
      <c r="D1325" s="23"/>
      <c r="AH1325" s="34"/>
      <c r="AI1325" s="34"/>
    </row>
    <row r="1326" spans="4:35" s="2" customFormat="1" ht="27" customHeight="1" x14ac:dyDescent="0.3">
      <c r="D1326" s="23"/>
      <c r="AH1326" s="34"/>
      <c r="AI1326" s="34"/>
    </row>
    <row r="1327" spans="4:35" s="2" customFormat="1" ht="27" customHeight="1" x14ac:dyDescent="0.3">
      <c r="D1327" s="23"/>
      <c r="AH1327" s="34"/>
      <c r="AI1327" s="34"/>
    </row>
    <row r="1328" spans="4:35" s="2" customFormat="1" ht="27" customHeight="1" x14ac:dyDescent="0.3">
      <c r="D1328" s="23"/>
      <c r="AH1328" s="34"/>
      <c r="AI1328" s="34"/>
    </row>
    <row r="1329" spans="4:35" s="2" customFormat="1" ht="27" customHeight="1" x14ac:dyDescent="0.3">
      <c r="D1329" s="23"/>
      <c r="AH1329" s="34"/>
      <c r="AI1329" s="34"/>
    </row>
    <row r="1330" spans="4:35" s="2" customFormat="1" ht="27" customHeight="1" x14ac:dyDescent="0.3">
      <c r="D1330" s="23"/>
      <c r="AH1330" s="34"/>
      <c r="AI1330" s="34"/>
    </row>
    <row r="1331" spans="4:35" s="2" customFormat="1" ht="27" customHeight="1" x14ac:dyDescent="0.3">
      <c r="D1331" s="23"/>
      <c r="AH1331" s="34"/>
      <c r="AI1331" s="34"/>
    </row>
    <row r="1332" spans="4:35" s="2" customFormat="1" ht="27" customHeight="1" x14ac:dyDescent="0.3">
      <c r="D1332" s="23"/>
      <c r="AH1332" s="34"/>
      <c r="AI1332" s="34"/>
    </row>
    <row r="1333" spans="4:35" s="2" customFormat="1" ht="27" customHeight="1" x14ac:dyDescent="0.3">
      <c r="D1333" s="23"/>
      <c r="AH1333" s="34"/>
      <c r="AI1333" s="34"/>
    </row>
    <row r="1334" spans="4:35" s="2" customFormat="1" ht="27" customHeight="1" x14ac:dyDescent="0.3">
      <c r="D1334" s="23"/>
      <c r="AH1334" s="34"/>
      <c r="AI1334" s="34"/>
    </row>
    <row r="1335" spans="4:35" s="2" customFormat="1" ht="27" customHeight="1" x14ac:dyDescent="0.3">
      <c r="D1335" s="23"/>
      <c r="AH1335" s="34"/>
      <c r="AI1335" s="34"/>
    </row>
    <row r="1336" spans="4:35" s="2" customFormat="1" ht="27" customHeight="1" x14ac:dyDescent="0.3">
      <c r="D1336" s="23"/>
      <c r="AH1336" s="34"/>
      <c r="AI1336" s="34"/>
    </row>
    <row r="1337" spans="4:35" s="2" customFormat="1" ht="27" customHeight="1" x14ac:dyDescent="0.3">
      <c r="D1337" s="23"/>
      <c r="AH1337" s="34"/>
      <c r="AI1337" s="34"/>
    </row>
    <row r="1338" spans="4:35" s="2" customFormat="1" ht="27" customHeight="1" x14ac:dyDescent="0.3">
      <c r="D1338" s="23"/>
      <c r="AH1338" s="34"/>
      <c r="AI1338" s="34"/>
    </row>
    <row r="1339" spans="4:35" s="2" customFormat="1" ht="27" customHeight="1" x14ac:dyDescent="0.3">
      <c r="D1339" s="23"/>
      <c r="AH1339" s="34"/>
      <c r="AI1339" s="34"/>
    </row>
    <row r="1340" spans="4:35" s="2" customFormat="1" ht="27" customHeight="1" x14ac:dyDescent="0.3">
      <c r="D1340" s="23"/>
      <c r="AH1340" s="34"/>
      <c r="AI1340" s="34"/>
    </row>
    <row r="1341" spans="4:35" s="2" customFormat="1" ht="27" customHeight="1" x14ac:dyDescent="0.3">
      <c r="D1341" s="23"/>
      <c r="AH1341" s="34"/>
      <c r="AI1341" s="34"/>
    </row>
    <row r="1342" spans="4:35" s="2" customFormat="1" ht="27" customHeight="1" x14ac:dyDescent="0.3">
      <c r="D1342" s="23"/>
      <c r="AH1342" s="34"/>
      <c r="AI1342" s="34"/>
    </row>
    <row r="1343" spans="4:35" s="2" customFormat="1" ht="27" customHeight="1" x14ac:dyDescent="0.3">
      <c r="D1343" s="23"/>
      <c r="AH1343" s="34"/>
      <c r="AI1343" s="34"/>
    </row>
    <row r="1344" spans="4:35" s="2" customFormat="1" ht="27" customHeight="1" x14ac:dyDescent="0.3">
      <c r="D1344" s="23"/>
      <c r="AH1344" s="34"/>
      <c r="AI1344" s="34"/>
    </row>
    <row r="1345" spans="4:35" s="2" customFormat="1" ht="27" customHeight="1" x14ac:dyDescent="0.3">
      <c r="D1345" s="23"/>
      <c r="AH1345" s="34"/>
      <c r="AI1345" s="34"/>
    </row>
    <row r="1346" spans="4:35" s="2" customFormat="1" ht="27" customHeight="1" x14ac:dyDescent="0.3">
      <c r="D1346" s="23"/>
      <c r="AH1346" s="34"/>
      <c r="AI1346" s="34"/>
    </row>
    <row r="1347" spans="4:35" s="2" customFormat="1" ht="27" customHeight="1" x14ac:dyDescent="0.3">
      <c r="D1347" s="23"/>
      <c r="AH1347" s="34"/>
      <c r="AI1347" s="34"/>
    </row>
    <row r="1348" spans="4:35" s="2" customFormat="1" ht="27" customHeight="1" x14ac:dyDescent="0.3">
      <c r="D1348" s="23"/>
      <c r="AH1348" s="34"/>
      <c r="AI1348" s="34"/>
    </row>
    <row r="1349" spans="4:35" s="2" customFormat="1" ht="27" customHeight="1" x14ac:dyDescent="0.3">
      <c r="D1349" s="23"/>
      <c r="AH1349" s="34"/>
      <c r="AI1349" s="34"/>
    </row>
    <row r="1350" spans="4:35" s="2" customFormat="1" ht="27" customHeight="1" x14ac:dyDescent="0.3">
      <c r="D1350" s="23"/>
      <c r="AH1350" s="34"/>
      <c r="AI1350" s="34"/>
    </row>
    <row r="1351" spans="4:35" s="2" customFormat="1" ht="27" customHeight="1" x14ac:dyDescent="0.3">
      <c r="D1351" s="23"/>
      <c r="AH1351" s="34"/>
      <c r="AI1351" s="34"/>
    </row>
    <row r="1352" spans="4:35" s="2" customFormat="1" ht="27" customHeight="1" x14ac:dyDescent="0.3">
      <c r="D1352" s="23"/>
      <c r="AH1352" s="34"/>
      <c r="AI1352" s="34"/>
    </row>
    <row r="1353" spans="4:35" s="2" customFormat="1" ht="27" customHeight="1" x14ac:dyDescent="0.3">
      <c r="D1353" s="23"/>
      <c r="AH1353" s="34"/>
      <c r="AI1353" s="34"/>
    </row>
    <row r="1354" spans="4:35" s="2" customFormat="1" ht="27" customHeight="1" x14ac:dyDescent="0.3">
      <c r="D1354" s="23"/>
      <c r="AH1354" s="34"/>
      <c r="AI1354" s="34"/>
    </row>
    <row r="1355" spans="4:35" s="2" customFormat="1" ht="27" customHeight="1" x14ac:dyDescent="0.3">
      <c r="D1355" s="23"/>
      <c r="AH1355" s="34"/>
      <c r="AI1355" s="34"/>
    </row>
    <row r="1356" spans="4:35" s="2" customFormat="1" ht="27" customHeight="1" x14ac:dyDescent="0.3">
      <c r="D1356" s="23"/>
      <c r="AH1356" s="34"/>
      <c r="AI1356" s="34"/>
    </row>
    <row r="1357" spans="4:35" s="2" customFormat="1" ht="27" customHeight="1" x14ac:dyDescent="0.3">
      <c r="D1357" s="23"/>
      <c r="AH1357" s="34"/>
      <c r="AI1357" s="34"/>
    </row>
    <row r="1358" spans="4:35" s="2" customFormat="1" ht="27" customHeight="1" x14ac:dyDescent="0.3">
      <c r="D1358" s="23"/>
      <c r="AH1358" s="34"/>
      <c r="AI1358" s="34"/>
    </row>
    <row r="1359" spans="4:35" s="2" customFormat="1" ht="27" customHeight="1" x14ac:dyDescent="0.3">
      <c r="D1359" s="23"/>
      <c r="AH1359" s="34"/>
      <c r="AI1359" s="34"/>
    </row>
    <row r="1360" spans="4:35" s="2" customFormat="1" ht="27" customHeight="1" x14ac:dyDescent="0.3">
      <c r="D1360" s="23"/>
      <c r="AH1360" s="34"/>
      <c r="AI1360" s="34"/>
    </row>
    <row r="1361" spans="4:35" s="2" customFormat="1" ht="27" customHeight="1" x14ac:dyDescent="0.3">
      <c r="D1361" s="23"/>
      <c r="AH1361" s="34"/>
      <c r="AI1361" s="34"/>
    </row>
    <row r="1362" spans="4:35" s="2" customFormat="1" ht="27" customHeight="1" x14ac:dyDescent="0.3">
      <c r="D1362" s="23"/>
      <c r="AH1362" s="34"/>
      <c r="AI1362" s="34"/>
    </row>
    <row r="1363" spans="4:35" s="2" customFormat="1" ht="27" customHeight="1" x14ac:dyDescent="0.3">
      <c r="D1363" s="23"/>
      <c r="AH1363" s="34"/>
      <c r="AI1363" s="34"/>
    </row>
    <row r="1364" spans="4:35" s="2" customFormat="1" ht="27" customHeight="1" x14ac:dyDescent="0.3">
      <c r="D1364" s="23"/>
      <c r="AH1364" s="34"/>
      <c r="AI1364" s="34"/>
    </row>
    <row r="1365" spans="4:35" s="2" customFormat="1" ht="27" customHeight="1" x14ac:dyDescent="0.3">
      <c r="D1365" s="23"/>
      <c r="AH1365" s="34"/>
      <c r="AI1365" s="34"/>
    </row>
    <row r="1366" spans="4:35" s="2" customFormat="1" ht="27" customHeight="1" x14ac:dyDescent="0.3">
      <c r="D1366" s="23"/>
      <c r="AH1366" s="34"/>
      <c r="AI1366" s="34"/>
    </row>
    <row r="1367" spans="4:35" s="2" customFormat="1" ht="27" customHeight="1" x14ac:dyDescent="0.3">
      <c r="D1367" s="23"/>
      <c r="AH1367" s="34"/>
      <c r="AI1367" s="34"/>
    </row>
    <row r="1368" spans="4:35" s="2" customFormat="1" ht="27" customHeight="1" x14ac:dyDescent="0.3">
      <c r="D1368" s="23"/>
      <c r="AH1368" s="34"/>
      <c r="AI1368" s="34"/>
    </row>
    <row r="1369" spans="4:35" s="2" customFormat="1" ht="27" customHeight="1" x14ac:dyDescent="0.3">
      <c r="D1369" s="23"/>
      <c r="AH1369" s="34"/>
      <c r="AI1369" s="34"/>
    </row>
    <row r="1370" spans="4:35" s="2" customFormat="1" ht="27" customHeight="1" x14ac:dyDescent="0.3">
      <c r="D1370" s="23"/>
      <c r="AH1370" s="34"/>
      <c r="AI1370" s="34"/>
    </row>
    <row r="1371" spans="4:35" s="2" customFormat="1" ht="27" customHeight="1" x14ac:dyDescent="0.3">
      <c r="D1371" s="23"/>
      <c r="AH1371" s="34"/>
      <c r="AI1371" s="34"/>
    </row>
    <row r="1372" spans="4:35" s="2" customFormat="1" ht="27" customHeight="1" x14ac:dyDescent="0.3">
      <c r="D1372" s="23"/>
      <c r="AH1372" s="34"/>
      <c r="AI1372" s="34"/>
    </row>
    <row r="1373" spans="4:35" s="2" customFormat="1" ht="27" customHeight="1" x14ac:dyDescent="0.3">
      <c r="D1373" s="23"/>
      <c r="AH1373" s="34"/>
      <c r="AI1373" s="34"/>
    </row>
    <row r="1374" spans="4:35" s="2" customFormat="1" ht="27" customHeight="1" x14ac:dyDescent="0.3">
      <c r="D1374" s="23"/>
      <c r="AH1374" s="34"/>
      <c r="AI1374" s="34"/>
    </row>
    <row r="1375" spans="4:35" s="2" customFormat="1" ht="27" customHeight="1" x14ac:dyDescent="0.3">
      <c r="D1375" s="23"/>
      <c r="AH1375" s="34"/>
      <c r="AI1375" s="34"/>
    </row>
    <row r="1376" spans="4:35" s="2" customFormat="1" ht="27" customHeight="1" x14ac:dyDescent="0.3">
      <c r="D1376" s="23"/>
      <c r="AH1376" s="34"/>
      <c r="AI1376" s="34"/>
    </row>
    <row r="1377" spans="4:35" s="2" customFormat="1" ht="27" customHeight="1" x14ac:dyDescent="0.3">
      <c r="D1377" s="23"/>
      <c r="AH1377" s="34"/>
      <c r="AI1377" s="34"/>
    </row>
    <row r="1378" spans="4:35" s="2" customFormat="1" ht="27" customHeight="1" x14ac:dyDescent="0.3">
      <c r="D1378" s="23"/>
      <c r="AH1378" s="34"/>
      <c r="AI1378" s="34"/>
    </row>
    <row r="1379" spans="4:35" s="2" customFormat="1" ht="27" customHeight="1" x14ac:dyDescent="0.3">
      <c r="D1379" s="23"/>
      <c r="AH1379" s="34"/>
      <c r="AI1379" s="34"/>
    </row>
    <row r="1380" spans="4:35" s="2" customFormat="1" ht="27" customHeight="1" x14ac:dyDescent="0.3">
      <c r="D1380" s="23"/>
      <c r="AH1380" s="34"/>
      <c r="AI1380" s="34"/>
    </row>
    <row r="1381" spans="4:35" s="2" customFormat="1" ht="27" customHeight="1" x14ac:dyDescent="0.3">
      <c r="D1381" s="23"/>
      <c r="AH1381" s="34"/>
      <c r="AI1381" s="34"/>
    </row>
    <row r="1382" spans="4:35" s="2" customFormat="1" ht="27" customHeight="1" x14ac:dyDescent="0.3">
      <c r="D1382" s="23"/>
      <c r="AH1382" s="34"/>
      <c r="AI1382" s="34"/>
    </row>
    <row r="1383" spans="4:35" s="2" customFormat="1" ht="27" customHeight="1" x14ac:dyDescent="0.3">
      <c r="D1383" s="23"/>
      <c r="AH1383" s="34"/>
      <c r="AI1383" s="34"/>
    </row>
    <row r="1384" spans="4:35" s="2" customFormat="1" ht="27" customHeight="1" x14ac:dyDescent="0.3">
      <c r="D1384" s="23"/>
      <c r="AH1384" s="34"/>
      <c r="AI1384" s="34"/>
    </row>
    <row r="1385" spans="4:35" s="2" customFormat="1" ht="27" customHeight="1" x14ac:dyDescent="0.3">
      <c r="D1385" s="23"/>
      <c r="AH1385" s="34"/>
      <c r="AI1385" s="34"/>
    </row>
    <row r="1386" spans="4:35" s="2" customFormat="1" ht="27" customHeight="1" x14ac:dyDescent="0.3">
      <c r="D1386" s="23"/>
      <c r="AH1386" s="34"/>
      <c r="AI1386" s="34"/>
    </row>
    <row r="1387" spans="4:35" s="2" customFormat="1" ht="27" customHeight="1" x14ac:dyDescent="0.3">
      <c r="D1387" s="23"/>
      <c r="AH1387" s="34"/>
      <c r="AI1387" s="34"/>
    </row>
    <row r="1388" spans="4:35" s="2" customFormat="1" ht="27" customHeight="1" x14ac:dyDescent="0.3">
      <c r="D1388" s="23"/>
      <c r="AH1388" s="34"/>
      <c r="AI1388" s="34"/>
    </row>
    <row r="1389" spans="4:35" s="2" customFormat="1" ht="27" customHeight="1" x14ac:dyDescent="0.3">
      <c r="D1389" s="23"/>
      <c r="AH1389" s="34"/>
      <c r="AI1389" s="34"/>
    </row>
    <row r="1390" spans="4:35" s="2" customFormat="1" ht="27" customHeight="1" x14ac:dyDescent="0.3">
      <c r="D1390" s="23"/>
      <c r="AH1390" s="34"/>
      <c r="AI1390" s="34"/>
    </row>
    <row r="1391" spans="4:35" s="2" customFormat="1" ht="27" customHeight="1" x14ac:dyDescent="0.3">
      <c r="D1391" s="23"/>
      <c r="AH1391" s="34"/>
      <c r="AI1391" s="34"/>
    </row>
    <row r="1392" spans="4:35" s="2" customFormat="1" ht="27" customHeight="1" x14ac:dyDescent="0.3">
      <c r="D1392" s="23"/>
      <c r="AH1392" s="34"/>
      <c r="AI1392" s="34"/>
    </row>
    <row r="1393" spans="4:35" s="2" customFormat="1" ht="27" customHeight="1" x14ac:dyDescent="0.3">
      <c r="D1393" s="23"/>
      <c r="AH1393" s="34"/>
      <c r="AI1393" s="34"/>
    </row>
    <row r="1394" spans="4:35" s="2" customFormat="1" ht="27" customHeight="1" x14ac:dyDescent="0.3">
      <c r="D1394" s="23"/>
      <c r="AH1394" s="34"/>
      <c r="AI1394" s="34"/>
    </row>
    <row r="1395" spans="4:35" s="2" customFormat="1" ht="27" customHeight="1" x14ac:dyDescent="0.3">
      <c r="D1395" s="23"/>
      <c r="AH1395" s="34"/>
      <c r="AI1395" s="34"/>
    </row>
    <row r="1396" spans="4:35" s="2" customFormat="1" ht="27" customHeight="1" x14ac:dyDescent="0.3">
      <c r="D1396" s="23"/>
      <c r="AH1396" s="34"/>
      <c r="AI1396" s="34"/>
    </row>
    <row r="1397" spans="4:35" s="2" customFormat="1" ht="27" customHeight="1" x14ac:dyDescent="0.3">
      <c r="D1397" s="23"/>
      <c r="AH1397" s="34"/>
      <c r="AI1397" s="34"/>
    </row>
    <row r="1398" spans="4:35" s="2" customFormat="1" ht="27" customHeight="1" x14ac:dyDescent="0.3">
      <c r="D1398" s="23"/>
      <c r="AH1398" s="34"/>
      <c r="AI1398" s="34"/>
    </row>
    <row r="1399" spans="4:35" s="2" customFormat="1" ht="27" customHeight="1" x14ac:dyDescent="0.3">
      <c r="D1399" s="23"/>
      <c r="AH1399" s="34"/>
      <c r="AI1399" s="34"/>
    </row>
    <row r="1400" spans="4:35" s="2" customFormat="1" ht="27" customHeight="1" x14ac:dyDescent="0.3">
      <c r="D1400" s="23"/>
      <c r="AH1400" s="34"/>
      <c r="AI1400" s="34"/>
    </row>
    <row r="1401" spans="4:35" s="2" customFormat="1" ht="27" customHeight="1" x14ac:dyDescent="0.3">
      <c r="D1401" s="23"/>
      <c r="AH1401" s="34"/>
      <c r="AI1401" s="34"/>
    </row>
    <row r="1402" spans="4:35" s="2" customFormat="1" ht="27" customHeight="1" x14ac:dyDescent="0.3">
      <c r="D1402" s="23"/>
      <c r="AH1402" s="34"/>
      <c r="AI1402" s="34"/>
    </row>
    <row r="1403" spans="4:35" s="2" customFormat="1" ht="27" customHeight="1" x14ac:dyDescent="0.3">
      <c r="D1403" s="23"/>
      <c r="AH1403" s="34"/>
      <c r="AI1403" s="34"/>
    </row>
    <row r="1404" spans="4:35" s="2" customFormat="1" ht="27" customHeight="1" x14ac:dyDescent="0.3">
      <c r="D1404" s="23"/>
      <c r="AH1404" s="34"/>
      <c r="AI1404" s="34"/>
    </row>
    <row r="1405" spans="4:35" s="2" customFormat="1" ht="27" customHeight="1" x14ac:dyDescent="0.3">
      <c r="D1405" s="23"/>
      <c r="AH1405" s="34"/>
      <c r="AI1405" s="34"/>
    </row>
    <row r="1406" spans="4:35" s="2" customFormat="1" ht="27" customHeight="1" x14ac:dyDescent="0.3">
      <c r="D1406" s="23"/>
      <c r="AH1406" s="34"/>
      <c r="AI1406" s="34"/>
    </row>
    <row r="1407" spans="4:35" s="2" customFormat="1" ht="27" customHeight="1" x14ac:dyDescent="0.3">
      <c r="D1407" s="23"/>
      <c r="AH1407" s="34"/>
      <c r="AI1407" s="34"/>
    </row>
    <row r="1408" spans="4:35" s="2" customFormat="1" ht="27" customHeight="1" x14ac:dyDescent="0.3">
      <c r="D1408" s="23"/>
      <c r="AH1408" s="34"/>
      <c r="AI1408" s="34"/>
    </row>
    <row r="1409" spans="4:35" s="2" customFormat="1" ht="27" customHeight="1" x14ac:dyDescent="0.3">
      <c r="D1409" s="23"/>
      <c r="AH1409" s="34"/>
      <c r="AI1409" s="34"/>
    </row>
    <row r="1410" spans="4:35" s="2" customFormat="1" ht="27" customHeight="1" x14ac:dyDescent="0.3">
      <c r="D1410" s="23"/>
      <c r="AH1410" s="34"/>
      <c r="AI1410" s="34"/>
    </row>
    <row r="1411" spans="4:35" s="2" customFormat="1" ht="27" customHeight="1" x14ac:dyDescent="0.3">
      <c r="D1411" s="23"/>
      <c r="AH1411" s="34"/>
      <c r="AI1411" s="34"/>
    </row>
    <row r="1412" spans="4:35" s="2" customFormat="1" ht="27" customHeight="1" x14ac:dyDescent="0.3">
      <c r="D1412" s="23"/>
      <c r="AH1412" s="34"/>
      <c r="AI1412" s="34"/>
    </row>
    <row r="1413" spans="4:35" s="2" customFormat="1" ht="27" customHeight="1" x14ac:dyDescent="0.3">
      <c r="D1413" s="23"/>
      <c r="AH1413" s="34"/>
      <c r="AI1413" s="34"/>
    </row>
    <row r="1414" spans="4:35" s="2" customFormat="1" ht="27" customHeight="1" x14ac:dyDescent="0.3">
      <c r="D1414" s="23"/>
      <c r="AH1414" s="34"/>
      <c r="AI1414" s="34"/>
    </row>
    <row r="1415" spans="4:35" s="2" customFormat="1" ht="27" customHeight="1" x14ac:dyDescent="0.3">
      <c r="D1415" s="23"/>
      <c r="AH1415" s="34"/>
      <c r="AI1415" s="34"/>
    </row>
    <row r="1416" spans="4:35" s="2" customFormat="1" ht="27" customHeight="1" x14ac:dyDescent="0.3">
      <c r="D1416" s="23"/>
      <c r="AH1416" s="34"/>
      <c r="AI1416" s="34"/>
    </row>
    <row r="1417" spans="4:35" s="2" customFormat="1" ht="27" customHeight="1" x14ac:dyDescent="0.3">
      <c r="D1417" s="23"/>
      <c r="AH1417" s="34"/>
      <c r="AI1417" s="34"/>
    </row>
    <row r="1418" spans="4:35" s="2" customFormat="1" ht="27" customHeight="1" x14ac:dyDescent="0.3">
      <c r="D1418" s="23"/>
      <c r="AH1418" s="34"/>
      <c r="AI1418" s="34"/>
    </row>
    <row r="1419" spans="4:35" s="2" customFormat="1" ht="27" customHeight="1" x14ac:dyDescent="0.3">
      <c r="D1419" s="23"/>
      <c r="AH1419" s="34"/>
      <c r="AI1419" s="34"/>
    </row>
    <row r="1420" spans="4:35" s="2" customFormat="1" ht="27" customHeight="1" x14ac:dyDescent="0.3">
      <c r="D1420" s="23"/>
      <c r="AH1420" s="34"/>
      <c r="AI1420" s="34"/>
    </row>
    <row r="1421" spans="4:35" s="2" customFormat="1" ht="27" customHeight="1" x14ac:dyDescent="0.3">
      <c r="D1421" s="23"/>
      <c r="AH1421" s="34"/>
      <c r="AI1421" s="34"/>
    </row>
    <row r="1422" spans="4:35" s="2" customFormat="1" ht="27" customHeight="1" x14ac:dyDescent="0.3">
      <c r="D1422" s="23"/>
      <c r="AH1422" s="34"/>
      <c r="AI1422" s="34"/>
    </row>
    <row r="1423" spans="4:35" s="2" customFormat="1" ht="27" customHeight="1" x14ac:dyDescent="0.3">
      <c r="D1423" s="23"/>
      <c r="AH1423" s="34"/>
      <c r="AI1423" s="34"/>
    </row>
    <row r="1424" spans="4:35" s="2" customFormat="1" ht="27" customHeight="1" x14ac:dyDescent="0.3">
      <c r="D1424" s="23"/>
      <c r="AH1424" s="34"/>
      <c r="AI1424" s="34"/>
    </row>
    <row r="1425" spans="4:35" s="2" customFormat="1" ht="27" customHeight="1" x14ac:dyDescent="0.3">
      <c r="D1425" s="23"/>
      <c r="AH1425" s="34"/>
      <c r="AI1425" s="34"/>
    </row>
    <row r="1426" spans="4:35" s="2" customFormat="1" ht="27" customHeight="1" x14ac:dyDescent="0.3">
      <c r="D1426" s="23"/>
      <c r="AH1426" s="34"/>
      <c r="AI1426" s="34"/>
    </row>
    <row r="1427" spans="4:35" s="2" customFormat="1" ht="27" customHeight="1" x14ac:dyDescent="0.3">
      <c r="D1427" s="23"/>
      <c r="AH1427" s="34"/>
      <c r="AI1427" s="34"/>
    </row>
    <row r="1428" spans="4:35" s="2" customFormat="1" ht="27" customHeight="1" x14ac:dyDescent="0.3">
      <c r="D1428" s="23"/>
      <c r="AH1428" s="34"/>
      <c r="AI1428" s="34"/>
    </row>
    <row r="1429" spans="4:35" s="2" customFormat="1" ht="27" customHeight="1" x14ac:dyDescent="0.3">
      <c r="D1429" s="23"/>
      <c r="AH1429" s="34"/>
      <c r="AI1429" s="34"/>
    </row>
    <row r="1430" spans="4:35" s="2" customFormat="1" ht="27" customHeight="1" x14ac:dyDescent="0.3">
      <c r="D1430" s="23"/>
      <c r="AH1430" s="34"/>
      <c r="AI1430" s="34"/>
    </row>
    <row r="1431" spans="4:35" s="2" customFormat="1" ht="27" customHeight="1" x14ac:dyDescent="0.3">
      <c r="D1431" s="23"/>
      <c r="AH1431" s="34"/>
      <c r="AI1431" s="34"/>
    </row>
    <row r="1432" spans="4:35" s="2" customFormat="1" ht="27" customHeight="1" x14ac:dyDescent="0.3">
      <c r="D1432" s="23"/>
      <c r="AH1432" s="34"/>
      <c r="AI1432" s="34"/>
    </row>
    <row r="1433" spans="4:35" s="2" customFormat="1" ht="27" customHeight="1" x14ac:dyDescent="0.3">
      <c r="D1433" s="23"/>
      <c r="AH1433" s="34"/>
      <c r="AI1433" s="34"/>
    </row>
    <row r="1434" spans="4:35" s="2" customFormat="1" ht="27" customHeight="1" x14ac:dyDescent="0.3">
      <c r="D1434" s="23"/>
      <c r="AH1434" s="34"/>
      <c r="AI1434" s="34"/>
    </row>
    <row r="1435" spans="4:35" s="2" customFormat="1" ht="27" customHeight="1" x14ac:dyDescent="0.3">
      <c r="D1435" s="23"/>
      <c r="AH1435" s="34"/>
      <c r="AI1435" s="34"/>
    </row>
    <row r="1436" spans="4:35" s="2" customFormat="1" ht="27" customHeight="1" x14ac:dyDescent="0.3">
      <c r="D1436" s="23"/>
      <c r="AH1436" s="34"/>
      <c r="AI1436" s="34"/>
    </row>
    <row r="1437" spans="4:35" s="2" customFormat="1" ht="27" customHeight="1" x14ac:dyDescent="0.3">
      <c r="D1437" s="23"/>
      <c r="AH1437" s="34"/>
      <c r="AI1437" s="34"/>
    </row>
    <row r="1438" spans="4:35" s="2" customFormat="1" ht="27" customHeight="1" x14ac:dyDescent="0.3">
      <c r="D1438" s="23"/>
      <c r="AH1438" s="34"/>
      <c r="AI1438" s="34"/>
    </row>
    <row r="1439" spans="4:35" s="2" customFormat="1" ht="27" customHeight="1" x14ac:dyDescent="0.3">
      <c r="D1439" s="23"/>
      <c r="AH1439" s="34"/>
      <c r="AI1439" s="34"/>
    </row>
    <row r="1440" spans="4:35" s="2" customFormat="1" ht="27" customHeight="1" x14ac:dyDescent="0.3">
      <c r="D1440" s="23"/>
      <c r="AH1440" s="34"/>
      <c r="AI1440" s="34"/>
    </row>
    <row r="1441" spans="4:35" s="2" customFormat="1" ht="27" customHeight="1" x14ac:dyDescent="0.3">
      <c r="D1441" s="23"/>
      <c r="AH1441" s="34"/>
      <c r="AI1441" s="34"/>
    </row>
    <row r="1442" spans="4:35" s="2" customFormat="1" ht="27" customHeight="1" x14ac:dyDescent="0.3">
      <c r="D1442" s="23"/>
      <c r="AH1442" s="34"/>
      <c r="AI1442" s="34"/>
    </row>
    <row r="1443" spans="4:35" s="2" customFormat="1" ht="27" customHeight="1" x14ac:dyDescent="0.3">
      <c r="D1443" s="23"/>
      <c r="AH1443" s="34"/>
      <c r="AI1443" s="34"/>
    </row>
    <row r="1444" spans="4:35" s="2" customFormat="1" ht="27" customHeight="1" x14ac:dyDescent="0.3">
      <c r="D1444" s="23"/>
      <c r="AH1444" s="34"/>
      <c r="AI1444" s="34"/>
    </row>
    <row r="1445" spans="4:35" s="2" customFormat="1" ht="27" customHeight="1" x14ac:dyDescent="0.3">
      <c r="D1445" s="23"/>
      <c r="AH1445" s="34"/>
      <c r="AI1445" s="34"/>
    </row>
    <row r="1446" spans="4:35" s="2" customFormat="1" ht="27" customHeight="1" x14ac:dyDescent="0.3">
      <c r="D1446" s="23"/>
      <c r="AH1446" s="34"/>
      <c r="AI1446" s="34"/>
    </row>
    <row r="1447" spans="4:35" s="2" customFormat="1" ht="27" customHeight="1" x14ac:dyDescent="0.3">
      <c r="D1447" s="23"/>
      <c r="AH1447" s="34"/>
      <c r="AI1447" s="34"/>
    </row>
    <row r="1448" spans="4:35" s="2" customFormat="1" ht="27" customHeight="1" x14ac:dyDescent="0.3">
      <c r="D1448" s="23"/>
      <c r="AH1448" s="34"/>
      <c r="AI1448" s="34"/>
    </row>
    <row r="1449" spans="4:35" s="2" customFormat="1" ht="27" customHeight="1" x14ac:dyDescent="0.3">
      <c r="D1449" s="23"/>
      <c r="AH1449" s="34"/>
      <c r="AI1449" s="34"/>
    </row>
    <row r="1450" spans="4:35" s="2" customFormat="1" ht="27" customHeight="1" x14ac:dyDescent="0.3">
      <c r="D1450" s="23"/>
      <c r="AH1450" s="34"/>
      <c r="AI1450" s="34"/>
    </row>
    <row r="1451" spans="4:35" s="2" customFormat="1" ht="27" customHeight="1" x14ac:dyDescent="0.3">
      <c r="D1451" s="23"/>
      <c r="AH1451" s="34"/>
      <c r="AI1451" s="34"/>
    </row>
    <row r="1452" spans="4:35" s="2" customFormat="1" ht="27" customHeight="1" x14ac:dyDescent="0.3">
      <c r="D1452" s="23"/>
      <c r="AH1452" s="34"/>
      <c r="AI1452" s="34"/>
    </row>
    <row r="1453" spans="4:35" s="2" customFormat="1" ht="27" customHeight="1" x14ac:dyDescent="0.3">
      <c r="D1453" s="23"/>
      <c r="AH1453" s="34"/>
      <c r="AI1453" s="34"/>
    </row>
    <row r="1454" spans="4:35" s="2" customFormat="1" ht="27" customHeight="1" x14ac:dyDescent="0.3">
      <c r="D1454" s="23"/>
      <c r="AH1454" s="34"/>
      <c r="AI1454" s="34"/>
    </row>
    <row r="1455" spans="4:35" s="2" customFormat="1" ht="27" customHeight="1" x14ac:dyDescent="0.3">
      <c r="D1455" s="23"/>
      <c r="AH1455" s="34"/>
      <c r="AI1455" s="34"/>
    </row>
    <row r="1456" spans="4:35" s="2" customFormat="1" ht="27" customHeight="1" x14ac:dyDescent="0.3">
      <c r="D1456" s="23"/>
      <c r="AH1456" s="34"/>
      <c r="AI1456" s="34"/>
    </row>
    <row r="1457" spans="4:35" s="2" customFormat="1" ht="27" customHeight="1" x14ac:dyDescent="0.3">
      <c r="D1457" s="23"/>
      <c r="AH1457" s="34"/>
      <c r="AI1457" s="34"/>
    </row>
    <row r="1458" spans="4:35" s="2" customFormat="1" ht="27" customHeight="1" x14ac:dyDescent="0.3">
      <c r="D1458" s="23"/>
      <c r="AH1458" s="34"/>
      <c r="AI1458" s="34"/>
    </row>
    <row r="1459" spans="4:35" s="2" customFormat="1" ht="27" customHeight="1" x14ac:dyDescent="0.3">
      <c r="D1459" s="23"/>
      <c r="AH1459" s="34"/>
      <c r="AI1459" s="34"/>
    </row>
    <row r="1460" spans="4:35" s="2" customFormat="1" ht="27" customHeight="1" x14ac:dyDescent="0.3">
      <c r="D1460" s="23"/>
      <c r="AH1460" s="34"/>
      <c r="AI1460" s="34"/>
    </row>
    <row r="1461" spans="4:35" s="2" customFormat="1" ht="27" customHeight="1" x14ac:dyDescent="0.3">
      <c r="D1461" s="23"/>
      <c r="AH1461" s="34"/>
      <c r="AI1461" s="34"/>
    </row>
    <row r="1462" spans="4:35" s="2" customFormat="1" ht="27" customHeight="1" x14ac:dyDescent="0.3">
      <c r="D1462" s="23"/>
      <c r="AH1462" s="34"/>
      <c r="AI1462" s="34"/>
    </row>
    <row r="1463" spans="4:35" s="2" customFormat="1" ht="27" customHeight="1" x14ac:dyDescent="0.3">
      <c r="D1463" s="23"/>
      <c r="AH1463" s="34"/>
      <c r="AI1463" s="34"/>
    </row>
    <row r="1464" spans="4:35" s="2" customFormat="1" ht="27" customHeight="1" x14ac:dyDescent="0.3">
      <c r="D1464" s="23"/>
      <c r="AH1464" s="34"/>
      <c r="AI1464" s="34"/>
    </row>
    <row r="1465" spans="4:35" s="2" customFormat="1" ht="27" customHeight="1" x14ac:dyDescent="0.3">
      <c r="D1465" s="23"/>
      <c r="AH1465" s="34"/>
      <c r="AI1465" s="34"/>
    </row>
    <row r="1466" spans="4:35" s="2" customFormat="1" ht="27" customHeight="1" x14ac:dyDescent="0.3">
      <c r="D1466" s="23"/>
      <c r="AH1466" s="34"/>
      <c r="AI1466" s="34"/>
    </row>
    <row r="1467" spans="4:35" s="2" customFormat="1" ht="27" customHeight="1" x14ac:dyDescent="0.3">
      <c r="D1467" s="23"/>
      <c r="AH1467" s="34"/>
      <c r="AI1467" s="34"/>
    </row>
    <row r="1468" spans="4:35" s="2" customFormat="1" ht="27" customHeight="1" x14ac:dyDescent="0.3">
      <c r="D1468" s="23"/>
      <c r="AH1468" s="34"/>
      <c r="AI1468" s="34"/>
    </row>
    <row r="1469" spans="4:35" s="2" customFormat="1" ht="27" customHeight="1" x14ac:dyDescent="0.3">
      <c r="D1469" s="23"/>
      <c r="AH1469" s="34"/>
      <c r="AI1469" s="34"/>
    </row>
    <row r="1470" spans="4:35" s="2" customFormat="1" ht="27" customHeight="1" x14ac:dyDescent="0.3">
      <c r="D1470" s="23"/>
      <c r="AH1470" s="34"/>
      <c r="AI1470" s="34"/>
    </row>
    <row r="1471" spans="4:35" s="2" customFormat="1" ht="27" customHeight="1" x14ac:dyDescent="0.3">
      <c r="D1471" s="23"/>
      <c r="AH1471" s="34"/>
      <c r="AI1471" s="34"/>
    </row>
    <row r="1472" spans="4:35" s="2" customFormat="1" ht="27" customHeight="1" x14ac:dyDescent="0.3">
      <c r="D1472" s="23"/>
      <c r="AH1472" s="34"/>
      <c r="AI1472" s="34"/>
    </row>
    <row r="1473" spans="4:35" s="2" customFormat="1" ht="27" customHeight="1" x14ac:dyDescent="0.3">
      <c r="D1473" s="23"/>
      <c r="AH1473" s="34"/>
      <c r="AI1473" s="34"/>
    </row>
    <row r="1474" spans="4:35" s="2" customFormat="1" ht="27" customHeight="1" x14ac:dyDescent="0.3">
      <c r="D1474" s="23"/>
      <c r="AH1474" s="34"/>
      <c r="AI1474" s="34"/>
    </row>
    <row r="1475" spans="4:35" s="2" customFormat="1" ht="27" customHeight="1" x14ac:dyDescent="0.3">
      <c r="D1475" s="23"/>
      <c r="AH1475" s="34"/>
      <c r="AI1475" s="34"/>
    </row>
    <row r="1476" spans="4:35" s="2" customFormat="1" ht="27" customHeight="1" x14ac:dyDescent="0.3">
      <c r="D1476" s="23"/>
      <c r="AH1476" s="34"/>
      <c r="AI1476" s="34"/>
    </row>
    <row r="1477" spans="4:35" s="2" customFormat="1" ht="27" customHeight="1" x14ac:dyDescent="0.3">
      <c r="D1477" s="23"/>
      <c r="AH1477" s="34"/>
      <c r="AI1477" s="34"/>
    </row>
    <row r="1478" spans="4:35" s="2" customFormat="1" ht="27" customHeight="1" x14ac:dyDescent="0.3">
      <c r="D1478" s="23"/>
      <c r="AH1478" s="34"/>
      <c r="AI1478" s="34"/>
    </row>
    <row r="1479" spans="4:35" s="2" customFormat="1" ht="27" customHeight="1" x14ac:dyDescent="0.3">
      <c r="D1479" s="23"/>
      <c r="AH1479" s="34"/>
      <c r="AI1479" s="34"/>
    </row>
    <row r="1480" spans="4:35" s="2" customFormat="1" ht="27" customHeight="1" x14ac:dyDescent="0.3">
      <c r="D1480" s="23"/>
      <c r="AH1480" s="34"/>
      <c r="AI1480" s="34"/>
    </row>
    <row r="1481" spans="4:35" s="2" customFormat="1" ht="27" customHeight="1" x14ac:dyDescent="0.3">
      <c r="D1481" s="23"/>
      <c r="AH1481" s="34"/>
      <c r="AI1481" s="34"/>
    </row>
    <row r="1482" spans="4:35" s="2" customFormat="1" ht="27" customHeight="1" x14ac:dyDescent="0.3">
      <c r="D1482" s="23"/>
      <c r="AH1482" s="34"/>
      <c r="AI1482" s="34"/>
    </row>
    <row r="1483" spans="4:35" s="2" customFormat="1" ht="27" customHeight="1" x14ac:dyDescent="0.3">
      <c r="D1483" s="23"/>
      <c r="AH1483" s="34"/>
      <c r="AI1483" s="34"/>
    </row>
    <row r="1484" spans="4:35" s="2" customFormat="1" ht="27" customHeight="1" x14ac:dyDescent="0.3">
      <c r="D1484" s="23"/>
      <c r="AH1484" s="34"/>
      <c r="AI1484" s="34"/>
    </row>
    <row r="1485" spans="4:35" s="2" customFormat="1" ht="27" customHeight="1" x14ac:dyDescent="0.3">
      <c r="D1485" s="23"/>
      <c r="AH1485" s="34"/>
      <c r="AI1485" s="34"/>
    </row>
    <row r="1486" spans="4:35" s="2" customFormat="1" ht="27" customHeight="1" x14ac:dyDescent="0.3">
      <c r="D1486" s="23"/>
      <c r="AH1486" s="34"/>
      <c r="AI1486" s="34"/>
    </row>
    <row r="1487" spans="4:35" s="2" customFormat="1" ht="27" customHeight="1" x14ac:dyDescent="0.3">
      <c r="D1487" s="23"/>
      <c r="AH1487" s="34"/>
      <c r="AI1487" s="34"/>
    </row>
    <row r="1488" spans="4:35" s="2" customFormat="1" ht="27" customHeight="1" x14ac:dyDescent="0.3">
      <c r="D1488" s="23"/>
      <c r="AH1488" s="34"/>
      <c r="AI1488" s="34"/>
    </row>
    <row r="1489" spans="4:35" s="2" customFormat="1" ht="27" customHeight="1" x14ac:dyDescent="0.3">
      <c r="D1489" s="23"/>
      <c r="AH1489" s="34"/>
      <c r="AI1489" s="34"/>
    </row>
    <row r="1490" spans="4:35" s="2" customFormat="1" ht="27" customHeight="1" x14ac:dyDescent="0.3">
      <c r="D1490" s="23"/>
      <c r="AH1490" s="34"/>
      <c r="AI1490" s="34"/>
    </row>
    <row r="1491" spans="4:35" s="2" customFormat="1" ht="27" customHeight="1" x14ac:dyDescent="0.3">
      <c r="D1491" s="23"/>
      <c r="AH1491" s="34"/>
      <c r="AI1491" s="34"/>
    </row>
    <row r="1492" spans="4:35" s="2" customFormat="1" ht="27" customHeight="1" x14ac:dyDescent="0.3">
      <c r="D1492" s="23"/>
      <c r="AH1492" s="34"/>
      <c r="AI1492" s="34"/>
    </row>
    <row r="1493" spans="4:35" s="2" customFormat="1" ht="27" customHeight="1" x14ac:dyDescent="0.3">
      <c r="D1493" s="23"/>
      <c r="AH1493" s="34"/>
      <c r="AI1493" s="34"/>
    </row>
    <row r="1494" spans="4:35" s="2" customFormat="1" ht="27" customHeight="1" x14ac:dyDescent="0.3">
      <c r="D1494" s="23"/>
      <c r="AH1494" s="34"/>
      <c r="AI1494" s="34"/>
    </row>
    <row r="1495" spans="4:35" s="2" customFormat="1" ht="27" customHeight="1" x14ac:dyDescent="0.3">
      <c r="D1495" s="23"/>
      <c r="AH1495" s="34"/>
      <c r="AI1495" s="34"/>
    </row>
    <row r="1496" spans="4:35" s="2" customFormat="1" ht="27" customHeight="1" x14ac:dyDescent="0.3">
      <c r="D1496" s="23"/>
      <c r="AH1496" s="34"/>
      <c r="AI1496" s="34"/>
    </row>
    <row r="1497" spans="4:35" s="2" customFormat="1" ht="27" customHeight="1" x14ac:dyDescent="0.3">
      <c r="D1497" s="23"/>
      <c r="AH1497" s="34"/>
      <c r="AI1497" s="34"/>
    </row>
    <row r="1498" spans="4:35" s="2" customFormat="1" ht="27" customHeight="1" x14ac:dyDescent="0.3">
      <c r="D1498" s="23"/>
      <c r="AH1498" s="34"/>
      <c r="AI1498" s="34"/>
    </row>
    <row r="1499" spans="4:35" s="2" customFormat="1" ht="27" customHeight="1" x14ac:dyDescent="0.3">
      <c r="D1499" s="23"/>
      <c r="AH1499" s="34"/>
      <c r="AI1499" s="34"/>
    </row>
    <row r="1500" spans="4:35" s="2" customFormat="1" ht="27" customHeight="1" x14ac:dyDescent="0.3">
      <c r="D1500" s="23"/>
      <c r="AH1500" s="34"/>
      <c r="AI1500" s="34"/>
    </row>
    <row r="1501" spans="4:35" s="2" customFormat="1" ht="27" customHeight="1" x14ac:dyDescent="0.3">
      <c r="D1501" s="23"/>
      <c r="AH1501" s="34"/>
      <c r="AI1501" s="34"/>
    </row>
    <row r="1502" spans="4:35" s="2" customFormat="1" ht="27" customHeight="1" x14ac:dyDescent="0.3">
      <c r="D1502" s="23"/>
      <c r="AH1502" s="34"/>
      <c r="AI1502" s="34"/>
    </row>
    <row r="1503" spans="4:35" s="2" customFormat="1" ht="27" customHeight="1" x14ac:dyDescent="0.3">
      <c r="D1503" s="23"/>
      <c r="AH1503" s="34"/>
      <c r="AI1503" s="34"/>
    </row>
    <row r="1504" spans="4:35" s="2" customFormat="1" ht="27" customHeight="1" x14ac:dyDescent="0.3">
      <c r="D1504" s="23"/>
      <c r="AH1504" s="34"/>
      <c r="AI1504" s="34"/>
    </row>
    <row r="1505" spans="4:35" s="2" customFormat="1" ht="27" customHeight="1" x14ac:dyDescent="0.3">
      <c r="D1505" s="23"/>
      <c r="AH1505" s="34"/>
      <c r="AI1505" s="34"/>
    </row>
    <row r="1506" spans="4:35" s="2" customFormat="1" ht="27" customHeight="1" x14ac:dyDescent="0.3">
      <c r="D1506" s="23"/>
      <c r="AH1506" s="34"/>
      <c r="AI1506" s="34"/>
    </row>
    <row r="1507" spans="4:35" s="2" customFormat="1" ht="27" customHeight="1" x14ac:dyDescent="0.3">
      <c r="D1507" s="23"/>
      <c r="AH1507" s="34"/>
      <c r="AI1507" s="34"/>
    </row>
    <row r="1508" spans="4:35" s="2" customFormat="1" ht="27" customHeight="1" x14ac:dyDescent="0.3">
      <c r="D1508" s="23"/>
      <c r="AH1508" s="34"/>
      <c r="AI1508" s="34"/>
    </row>
    <row r="1509" spans="4:35" s="2" customFormat="1" ht="27" customHeight="1" x14ac:dyDescent="0.3">
      <c r="D1509" s="23"/>
      <c r="AH1509" s="34"/>
      <c r="AI1509" s="34"/>
    </row>
    <row r="1510" spans="4:35" s="2" customFormat="1" ht="27" customHeight="1" x14ac:dyDescent="0.3">
      <c r="D1510" s="23"/>
      <c r="AH1510" s="34"/>
      <c r="AI1510" s="34"/>
    </row>
    <row r="1511" spans="4:35" s="2" customFormat="1" ht="27" customHeight="1" x14ac:dyDescent="0.3">
      <c r="D1511" s="23"/>
      <c r="AH1511" s="34"/>
      <c r="AI1511" s="34"/>
    </row>
    <row r="1512" spans="4:35" s="2" customFormat="1" ht="27" customHeight="1" x14ac:dyDescent="0.3">
      <c r="D1512" s="23"/>
      <c r="AH1512" s="34"/>
      <c r="AI1512" s="34"/>
    </row>
    <row r="1513" spans="4:35" s="2" customFormat="1" ht="27" customHeight="1" x14ac:dyDescent="0.3">
      <c r="D1513" s="23"/>
      <c r="AH1513" s="34"/>
      <c r="AI1513" s="34"/>
    </row>
    <row r="1514" spans="4:35" s="2" customFormat="1" ht="27" customHeight="1" x14ac:dyDescent="0.3">
      <c r="D1514" s="23"/>
      <c r="AH1514" s="34"/>
      <c r="AI1514" s="34"/>
    </row>
    <row r="1515" spans="4:35" s="2" customFormat="1" ht="27" customHeight="1" x14ac:dyDescent="0.3">
      <c r="D1515" s="23"/>
      <c r="AH1515" s="34"/>
      <c r="AI1515" s="34"/>
    </row>
    <row r="1516" spans="4:35" s="2" customFormat="1" ht="27" customHeight="1" x14ac:dyDescent="0.3">
      <c r="D1516" s="23"/>
      <c r="AH1516" s="34"/>
      <c r="AI1516" s="34"/>
    </row>
    <row r="1517" spans="4:35" s="2" customFormat="1" ht="27" customHeight="1" x14ac:dyDescent="0.3">
      <c r="D1517" s="23"/>
      <c r="AH1517" s="34"/>
      <c r="AI1517" s="34"/>
    </row>
    <row r="1518" spans="4:35" s="2" customFormat="1" ht="27" customHeight="1" x14ac:dyDescent="0.3">
      <c r="D1518" s="23"/>
      <c r="AH1518" s="34"/>
      <c r="AI1518" s="34"/>
    </row>
    <row r="1519" spans="4:35" s="2" customFormat="1" ht="27" customHeight="1" x14ac:dyDescent="0.3">
      <c r="D1519" s="23"/>
      <c r="AH1519" s="34"/>
      <c r="AI1519" s="34"/>
    </row>
    <row r="1520" spans="4:35" s="2" customFormat="1" ht="27" customHeight="1" x14ac:dyDescent="0.3">
      <c r="D1520" s="23"/>
      <c r="AH1520" s="34"/>
      <c r="AI1520" s="34"/>
    </row>
    <row r="1521" spans="4:35" s="2" customFormat="1" ht="27" customHeight="1" x14ac:dyDescent="0.3">
      <c r="D1521" s="23"/>
      <c r="AH1521" s="34"/>
      <c r="AI1521" s="34"/>
    </row>
    <row r="1522" spans="4:35" s="2" customFormat="1" ht="27" customHeight="1" x14ac:dyDescent="0.3">
      <c r="D1522" s="23"/>
      <c r="AH1522" s="34"/>
      <c r="AI1522" s="34"/>
    </row>
    <row r="1523" spans="4:35" s="2" customFormat="1" ht="27" customHeight="1" x14ac:dyDescent="0.3">
      <c r="D1523" s="23"/>
      <c r="AH1523" s="34"/>
      <c r="AI1523" s="34"/>
    </row>
    <row r="1524" spans="4:35" s="2" customFormat="1" ht="27" customHeight="1" x14ac:dyDescent="0.3">
      <c r="D1524" s="23"/>
      <c r="AH1524" s="34"/>
      <c r="AI1524" s="34"/>
    </row>
    <row r="1525" spans="4:35" s="2" customFormat="1" ht="27" customHeight="1" x14ac:dyDescent="0.3">
      <c r="D1525" s="23"/>
      <c r="AH1525" s="34"/>
      <c r="AI1525" s="34"/>
    </row>
    <row r="1526" spans="4:35" s="2" customFormat="1" ht="27" customHeight="1" x14ac:dyDescent="0.3">
      <c r="D1526" s="23"/>
      <c r="AH1526" s="34"/>
      <c r="AI1526" s="34"/>
    </row>
    <row r="1527" spans="4:35" s="2" customFormat="1" ht="27" customHeight="1" x14ac:dyDescent="0.3">
      <c r="D1527" s="23"/>
      <c r="AH1527" s="34"/>
      <c r="AI1527" s="34"/>
    </row>
    <row r="1528" spans="4:35" s="2" customFormat="1" ht="27" customHeight="1" x14ac:dyDescent="0.3">
      <c r="D1528" s="23"/>
      <c r="AH1528" s="34"/>
      <c r="AI1528" s="34"/>
    </row>
    <row r="1529" spans="4:35" s="2" customFormat="1" ht="27" customHeight="1" x14ac:dyDescent="0.3">
      <c r="D1529" s="23"/>
      <c r="AH1529" s="34"/>
      <c r="AI1529" s="34"/>
    </row>
    <row r="1530" spans="4:35" s="2" customFormat="1" ht="27" customHeight="1" x14ac:dyDescent="0.3">
      <c r="D1530" s="23"/>
      <c r="AH1530" s="34"/>
      <c r="AI1530" s="34"/>
    </row>
    <row r="1531" spans="4:35" s="2" customFormat="1" ht="27" customHeight="1" x14ac:dyDescent="0.3">
      <c r="D1531" s="23"/>
      <c r="AH1531" s="34"/>
      <c r="AI1531" s="34"/>
    </row>
    <row r="1532" spans="4:35" s="2" customFormat="1" ht="27" customHeight="1" x14ac:dyDescent="0.3">
      <c r="D1532" s="23"/>
      <c r="AH1532" s="34"/>
      <c r="AI1532" s="34"/>
    </row>
    <row r="1533" spans="4:35" s="2" customFormat="1" ht="27" customHeight="1" x14ac:dyDescent="0.3">
      <c r="D1533" s="23"/>
      <c r="AH1533" s="34"/>
      <c r="AI1533" s="34"/>
    </row>
    <row r="1534" spans="4:35" s="2" customFormat="1" ht="27" customHeight="1" x14ac:dyDescent="0.3">
      <c r="D1534" s="23"/>
      <c r="AH1534" s="34"/>
      <c r="AI1534" s="34"/>
    </row>
    <row r="1535" spans="4:35" s="2" customFormat="1" ht="27" customHeight="1" x14ac:dyDescent="0.3">
      <c r="D1535" s="23"/>
      <c r="AH1535" s="34"/>
      <c r="AI1535" s="34"/>
    </row>
    <row r="1536" spans="4:35" s="2" customFormat="1" ht="27" customHeight="1" x14ac:dyDescent="0.3">
      <c r="D1536" s="23"/>
      <c r="AH1536" s="34"/>
      <c r="AI1536" s="34"/>
    </row>
    <row r="1537" spans="4:35" s="2" customFormat="1" ht="27" customHeight="1" x14ac:dyDescent="0.3">
      <c r="D1537" s="23"/>
      <c r="AH1537" s="34"/>
      <c r="AI1537" s="34"/>
    </row>
    <row r="1538" spans="4:35" s="2" customFormat="1" ht="27" customHeight="1" x14ac:dyDescent="0.3">
      <c r="D1538" s="23"/>
      <c r="AH1538" s="34"/>
      <c r="AI1538" s="34"/>
    </row>
    <row r="1539" spans="4:35" s="2" customFormat="1" ht="27" customHeight="1" x14ac:dyDescent="0.3">
      <c r="D1539" s="23"/>
      <c r="AH1539" s="34"/>
      <c r="AI1539" s="34"/>
    </row>
    <row r="1540" spans="4:35" s="2" customFormat="1" ht="27" customHeight="1" x14ac:dyDescent="0.3">
      <c r="D1540" s="23"/>
      <c r="AH1540" s="34"/>
      <c r="AI1540" s="34"/>
    </row>
    <row r="1541" spans="4:35" s="2" customFormat="1" ht="27" customHeight="1" x14ac:dyDescent="0.3">
      <c r="D1541" s="23"/>
      <c r="AH1541" s="34"/>
      <c r="AI1541" s="34"/>
    </row>
    <row r="1542" spans="4:35" s="2" customFormat="1" ht="27" customHeight="1" x14ac:dyDescent="0.3">
      <c r="D1542" s="23"/>
      <c r="AH1542" s="34"/>
      <c r="AI1542" s="34"/>
    </row>
    <row r="1543" spans="4:35" s="2" customFormat="1" ht="27" customHeight="1" x14ac:dyDescent="0.3">
      <c r="D1543" s="23"/>
      <c r="AH1543" s="34"/>
      <c r="AI1543" s="34"/>
    </row>
    <row r="1544" spans="4:35" s="2" customFormat="1" ht="27" customHeight="1" x14ac:dyDescent="0.3">
      <c r="D1544" s="23"/>
      <c r="AH1544" s="34"/>
      <c r="AI1544" s="34"/>
    </row>
    <row r="1545" spans="4:35" s="2" customFormat="1" ht="27" customHeight="1" x14ac:dyDescent="0.3">
      <c r="D1545" s="23"/>
      <c r="AH1545" s="34"/>
      <c r="AI1545" s="34"/>
    </row>
    <row r="1546" spans="4:35" s="2" customFormat="1" ht="27" customHeight="1" x14ac:dyDescent="0.3">
      <c r="D1546" s="23"/>
      <c r="AH1546" s="34"/>
      <c r="AI1546" s="34"/>
    </row>
    <row r="1547" spans="4:35" s="2" customFormat="1" ht="27" customHeight="1" x14ac:dyDescent="0.3">
      <c r="D1547" s="23"/>
      <c r="AH1547" s="34"/>
      <c r="AI1547" s="34"/>
    </row>
    <row r="1548" spans="4:35" s="2" customFormat="1" ht="27" customHeight="1" x14ac:dyDescent="0.3">
      <c r="D1548" s="23"/>
      <c r="AH1548" s="34"/>
      <c r="AI1548" s="34"/>
    </row>
    <row r="1549" spans="4:35" s="2" customFormat="1" ht="27" customHeight="1" x14ac:dyDescent="0.3">
      <c r="D1549" s="23"/>
      <c r="AH1549" s="34"/>
      <c r="AI1549" s="34"/>
    </row>
    <row r="1550" spans="4:35" s="2" customFormat="1" ht="27" customHeight="1" x14ac:dyDescent="0.3">
      <c r="D1550" s="23"/>
      <c r="AH1550" s="34"/>
      <c r="AI1550" s="34"/>
    </row>
    <row r="1551" spans="4:35" s="2" customFormat="1" ht="27" customHeight="1" x14ac:dyDescent="0.3">
      <c r="D1551" s="23"/>
      <c r="AH1551" s="34"/>
      <c r="AI1551" s="34"/>
    </row>
    <row r="1552" spans="4:35" s="2" customFormat="1" ht="27" customHeight="1" x14ac:dyDescent="0.3">
      <c r="D1552" s="23"/>
      <c r="AH1552" s="34"/>
      <c r="AI1552" s="34"/>
    </row>
    <row r="1553" spans="4:35" s="2" customFormat="1" ht="27" customHeight="1" x14ac:dyDescent="0.3">
      <c r="D1553" s="23"/>
      <c r="AH1553" s="34"/>
      <c r="AI1553" s="34"/>
    </row>
    <row r="1554" spans="4:35" s="2" customFormat="1" ht="27" customHeight="1" x14ac:dyDescent="0.3">
      <c r="D1554" s="23"/>
      <c r="AH1554" s="34"/>
      <c r="AI1554" s="34"/>
    </row>
    <row r="1555" spans="4:35" s="2" customFormat="1" ht="27" customHeight="1" x14ac:dyDescent="0.3">
      <c r="D1555" s="23"/>
      <c r="AH1555" s="34"/>
      <c r="AI1555" s="34"/>
    </row>
    <row r="1556" spans="4:35" s="2" customFormat="1" ht="27" customHeight="1" x14ac:dyDescent="0.3">
      <c r="D1556" s="23"/>
      <c r="AH1556" s="34"/>
      <c r="AI1556" s="34"/>
    </row>
    <row r="1557" spans="4:35" s="2" customFormat="1" ht="27" customHeight="1" x14ac:dyDescent="0.3">
      <c r="D1557" s="23"/>
      <c r="AH1557" s="34"/>
      <c r="AI1557" s="34"/>
    </row>
    <row r="1558" spans="4:35" s="2" customFormat="1" ht="27" customHeight="1" x14ac:dyDescent="0.3">
      <c r="D1558" s="23"/>
      <c r="AH1558" s="34"/>
      <c r="AI1558" s="34"/>
    </row>
    <row r="1559" spans="4:35" s="2" customFormat="1" ht="27" customHeight="1" x14ac:dyDescent="0.3">
      <c r="D1559" s="23"/>
      <c r="AH1559" s="34"/>
      <c r="AI1559" s="34"/>
    </row>
    <row r="1560" spans="4:35" s="2" customFormat="1" ht="27" customHeight="1" x14ac:dyDescent="0.3">
      <c r="D1560" s="23"/>
      <c r="AH1560" s="34"/>
      <c r="AI1560" s="34"/>
    </row>
    <row r="1561" spans="4:35" s="2" customFormat="1" ht="27" customHeight="1" x14ac:dyDescent="0.3">
      <c r="D1561" s="23"/>
      <c r="AH1561" s="34"/>
      <c r="AI1561" s="34"/>
    </row>
    <row r="1562" spans="4:35" s="2" customFormat="1" ht="27" customHeight="1" x14ac:dyDescent="0.3">
      <c r="D1562" s="23"/>
      <c r="AH1562" s="34"/>
      <c r="AI1562" s="34"/>
    </row>
    <row r="1563" spans="4:35" s="2" customFormat="1" ht="27" customHeight="1" x14ac:dyDescent="0.3">
      <c r="D1563" s="23"/>
      <c r="AH1563" s="34"/>
      <c r="AI1563" s="34"/>
    </row>
    <row r="1564" spans="4:35" s="2" customFormat="1" ht="27" customHeight="1" x14ac:dyDescent="0.3">
      <c r="D1564" s="23"/>
      <c r="AH1564" s="34"/>
      <c r="AI1564" s="34"/>
    </row>
    <row r="1565" spans="4:35" s="2" customFormat="1" ht="27" customHeight="1" x14ac:dyDescent="0.3">
      <c r="D1565" s="23"/>
      <c r="AH1565" s="34"/>
      <c r="AI1565" s="34"/>
    </row>
    <row r="1566" spans="4:35" s="2" customFormat="1" ht="27" customHeight="1" x14ac:dyDescent="0.3">
      <c r="D1566" s="23"/>
      <c r="AH1566" s="34"/>
      <c r="AI1566" s="34"/>
    </row>
    <row r="1567" spans="4:35" s="2" customFormat="1" ht="27" customHeight="1" x14ac:dyDescent="0.3">
      <c r="D1567" s="23"/>
      <c r="AH1567" s="34"/>
      <c r="AI1567" s="34"/>
    </row>
    <row r="1568" spans="4:35" s="2" customFormat="1" ht="27" customHeight="1" x14ac:dyDescent="0.3">
      <c r="D1568" s="23"/>
      <c r="AH1568" s="34"/>
      <c r="AI1568" s="34"/>
    </row>
    <row r="1569" spans="4:35" s="2" customFormat="1" ht="27" customHeight="1" x14ac:dyDescent="0.3">
      <c r="D1569" s="23"/>
      <c r="AH1569" s="34"/>
      <c r="AI1569" s="34"/>
    </row>
    <row r="1570" spans="4:35" s="2" customFormat="1" ht="27" customHeight="1" x14ac:dyDescent="0.3">
      <c r="D1570" s="23"/>
      <c r="AH1570" s="34"/>
      <c r="AI1570" s="34"/>
    </row>
    <row r="1571" spans="4:35" s="2" customFormat="1" ht="27" customHeight="1" x14ac:dyDescent="0.3">
      <c r="D1571" s="23"/>
      <c r="AH1571" s="34"/>
      <c r="AI1571" s="34"/>
    </row>
    <row r="1572" spans="4:35" s="2" customFormat="1" ht="27" customHeight="1" x14ac:dyDescent="0.3">
      <c r="D1572" s="23"/>
      <c r="AH1572" s="34"/>
      <c r="AI1572" s="34"/>
    </row>
    <row r="1573" spans="4:35" s="2" customFormat="1" ht="27" customHeight="1" x14ac:dyDescent="0.3">
      <c r="D1573" s="23"/>
      <c r="AH1573" s="34"/>
      <c r="AI1573" s="34"/>
    </row>
    <row r="1574" spans="4:35" s="2" customFormat="1" ht="27" customHeight="1" x14ac:dyDescent="0.3">
      <c r="D1574" s="23"/>
      <c r="AH1574" s="34"/>
      <c r="AI1574" s="34"/>
    </row>
    <row r="1575" spans="4:35" s="2" customFormat="1" ht="27" customHeight="1" x14ac:dyDescent="0.3">
      <c r="D1575" s="23"/>
      <c r="AH1575" s="34"/>
      <c r="AI1575" s="34"/>
    </row>
    <row r="1576" spans="4:35" s="2" customFormat="1" ht="27" customHeight="1" x14ac:dyDescent="0.3">
      <c r="D1576" s="23"/>
      <c r="AH1576" s="34"/>
      <c r="AI1576" s="34"/>
    </row>
    <row r="1577" spans="4:35" s="2" customFormat="1" ht="27" customHeight="1" x14ac:dyDescent="0.3">
      <c r="D1577" s="23"/>
      <c r="AH1577" s="34"/>
      <c r="AI1577" s="34"/>
    </row>
    <row r="1578" spans="4:35" s="2" customFormat="1" ht="27" customHeight="1" x14ac:dyDescent="0.3">
      <c r="D1578" s="23"/>
      <c r="AH1578" s="34"/>
      <c r="AI1578" s="34"/>
    </row>
    <row r="1579" spans="4:35" s="2" customFormat="1" ht="27" customHeight="1" x14ac:dyDescent="0.3">
      <c r="D1579" s="23"/>
      <c r="AH1579" s="34"/>
      <c r="AI1579" s="34"/>
    </row>
    <row r="1580" spans="4:35" s="2" customFormat="1" ht="27" customHeight="1" x14ac:dyDescent="0.3">
      <c r="D1580" s="23"/>
      <c r="AH1580" s="34"/>
      <c r="AI1580" s="34"/>
    </row>
    <row r="1581" spans="4:35" s="2" customFormat="1" ht="27" customHeight="1" x14ac:dyDescent="0.3">
      <c r="D1581" s="23"/>
      <c r="AH1581" s="34"/>
      <c r="AI1581" s="34"/>
    </row>
    <row r="1582" spans="4:35" s="2" customFormat="1" ht="27" customHeight="1" x14ac:dyDescent="0.3">
      <c r="D1582" s="23"/>
      <c r="AH1582" s="34"/>
      <c r="AI1582" s="34"/>
    </row>
    <row r="1583" spans="4:35" s="2" customFormat="1" ht="27" customHeight="1" x14ac:dyDescent="0.3">
      <c r="D1583" s="23"/>
      <c r="AH1583" s="34"/>
      <c r="AI1583" s="34"/>
    </row>
    <row r="1584" spans="4:35" s="2" customFormat="1" ht="27" customHeight="1" x14ac:dyDescent="0.3">
      <c r="D1584" s="23"/>
      <c r="AH1584" s="34"/>
      <c r="AI1584" s="34"/>
    </row>
    <row r="1585" spans="4:35" s="2" customFormat="1" ht="27" customHeight="1" x14ac:dyDescent="0.3">
      <c r="D1585" s="23"/>
      <c r="AH1585" s="34"/>
      <c r="AI1585" s="34"/>
    </row>
    <row r="1586" spans="4:35" s="2" customFormat="1" ht="27" customHeight="1" x14ac:dyDescent="0.3">
      <c r="D1586" s="23"/>
      <c r="AH1586" s="34"/>
      <c r="AI1586" s="34"/>
    </row>
    <row r="1587" spans="4:35" s="2" customFormat="1" ht="27" customHeight="1" x14ac:dyDescent="0.3">
      <c r="D1587" s="23"/>
      <c r="AH1587" s="34"/>
      <c r="AI1587" s="34"/>
    </row>
    <row r="1588" spans="4:35" s="2" customFormat="1" ht="27" customHeight="1" x14ac:dyDescent="0.3">
      <c r="D1588" s="23"/>
      <c r="AH1588" s="34"/>
      <c r="AI1588" s="34"/>
    </row>
    <row r="1589" spans="4:35" s="2" customFormat="1" ht="27" customHeight="1" x14ac:dyDescent="0.3">
      <c r="D1589" s="23"/>
      <c r="AH1589" s="34"/>
      <c r="AI1589" s="34"/>
    </row>
    <row r="1590" spans="4:35" s="2" customFormat="1" ht="27" customHeight="1" x14ac:dyDescent="0.3">
      <c r="D1590" s="23"/>
      <c r="AH1590" s="34"/>
      <c r="AI1590" s="34"/>
    </row>
    <row r="1591" spans="4:35" s="2" customFormat="1" ht="27" customHeight="1" x14ac:dyDescent="0.3">
      <c r="D1591" s="23"/>
      <c r="AH1591" s="34"/>
      <c r="AI1591" s="34"/>
    </row>
    <row r="1592" spans="4:35" s="2" customFormat="1" ht="27" customHeight="1" x14ac:dyDescent="0.3">
      <c r="D1592" s="23"/>
      <c r="AH1592" s="34"/>
      <c r="AI1592" s="34"/>
    </row>
    <row r="1593" spans="4:35" s="2" customFormat="1" ht="27" customHeight="1" x14ac:dyDescent="0.3">
      <c r="D1593" s="23"/>
      <c r="AH1593" s="34"/>
      <c r="AI1593" s="34"/>
    </row>
    <row r="1594" spans="4:35" s="2" customFormat="1" ht="27" customHeight="1" x14ac:dyDescent="0.3">
      <c r="D1594" s="23"/>
      <c r="AH1594" s="34"/>
      <c r="AI1594" s="34"/>
    </row>
    <row r="1595" spans="4:35" s="2" customFormat="1" ht="27" customHeight="1" x14ac:dyDescent="0.3">
      <c r="D1595" s="23"/>
      <c r="AH1595" s="34"/>
      <c r="AI1595" s="34"/>
    </row>
    <row r="1596" spans="4:35" s="2" customFormat="1" ht="27" customHeight="1" x14ac:dyDescent="0.3">
      <c r="D1596" s="23"/>
      <c r="AH1596" s="34"/>
      <c r="AI1596" s="34"/>
    </row>
    <row r="1597" spans="4:35" s="2" customFormat="1" ht="27" customHeight="1" x14ac:dyDescent="0.3">
      <c r="D1597" s="23"/>
      <c r="AH1597" s="34"/>
      <c r="AI1597" s="34"/>
    </row>
    <row r="1598" spans="4:35" s="2" customFormat="1" ht="27" customHeight="1" x14ac:dyDescent="0.3">
      <c r="D1598" s="23"/>
      <c r="AH1598" s="34"/>
      <c r="AI1598" s="34"/>
    </row>
    <row r="1599" spans="4:35" s="2" customFormat="1" ht="27" customHeight="1" x14ac:dyDescent="0.3">
      <c r="D1599" s="23"/>
      <c r="AH1599" s="34"/>
      <c r="AI1599" s="34"/>
    </row>
    <row r="1600" spans="4:35" s="2" customFormat="1" ht="27" customHeight="1" x14ac:dyDescent="0.3">
      <c r="D1600" s="23"/>
      <c r="AH1600" s="34"/>
      <c r="AI1600" s="34"/>
    </row>
    <row r="1601" spans="4:35" s="2" customFormat="1" ht="27" customHeight="1" x14ac:dyDescent="0.3">
      <c r="D1601" s="23"/>
      <c r="AH1601" s="34"/>
      <c r="AI1601" s="34"/>
    </row>
    <row r="1602" spans="4:35" s="2" customFormat="1" ht="27" customHeight="1" x14ac:dyDescent="0.3">
      <c r="D1602" s="23"/>
      <c r="AH1602" s="34"/>
      <c r="AI1602" s="34"/>
    </row>
    <row r="1603" spans="4:35" s="2" customFormat="1" ht="27" customHeight="1" x14ac:dyDescent="0.3">
      <c r="D1603" s="23"/>
      <c r="AH1603" s="34"/>
      <c r="AI1603" s="34"/>
    </row>
    <row r="1604" spans="4:35" s="2" customFormat="1" ht="27" customHeight="1" x14ac:dyDescent="0.3">
      <c r="D1604" s="23"/>
      <c r="AH1604" s="34"/>
      <c r="AI1604" s="34"/>
    </row>
    <row r="1605" spans="4:35" s="2" customFormat="1" ht="27" customHeight="1" x14ac:dyDescent="0.3">
      <c r="D1605" s="23"/>
      <c r="AH1605" s="34"/>
      <c r="AI1605" s="34"/>
    </row>
    <row r="1606" spans="4:35" s="2" customFormat="1" ht="27" customHeight="1" x14ac:dyDescent="0.3">
      <c r="D1606" s="23"/>
      <c r="AH1606" s="34"/>
      <c r="AI1606" s="34"/>
    </row>
    <row r="1607" spans="4:35" s="2" customFormat="1" ht="27" customHeight="1" x14ac:dyDescent="0.3">
      <c r="D1607" s="23"/>
      <c r="AH1607" s="34"/>
      <c r="AI1607" s="34"/>
    </row>
    <row r="1608" spans="4:35" s="2" customFormat="1" ht="27" customHeight="1" x14ac:dyDescent="0.3">
      <c r="D1608" s="23"/>
      <c r="AH1608" s="34"/>
      <c r="AI1608" s="34"/>
    </row>
    <row r="1609" spans="4:35" s="2" customFormat="1" ht="27" customHeight="1" x14ac:dyDescent="0.3">
      <c r="D1609" s="23"/>
      <c r="AH1609" s="34"/>
      <c r="AI1609" s="34"/>
    </row>
    <row r="1610" spans="4:35" s="2" customFormat="1" ht="27" customHeight="1" x14ac:dyDescent="0.3">
      <c r="D1610" s="23"/>
      <c r="AH1610" s="34"/>
      <c r="AI1610" s="34"/>
    </row>
    <row r="1611" spans="4:35" s="2" customFormat="1" ht="27" customHeight="1" x14ac:dyDescent="0.3">
      <c r="D1611" s="23"/>
      <c r="AH1611" s="34"/>
      <c r="AI1611" s="34"/>
    </row>
    <row r="1612" spans="4:35" s="2" customFormat="1" ht="27" customHeight="1" x14ac:dyDescent="0.3">
      <c r="D1612" s="23"/>
      <c r="AH1612" s="34"/>
      <c r="AI1612" s="34"/>
    </row>
    <row r="1613" spans="4:35" s="2" customFormat="1" ht="27" customHeight="1" x14ac:dyDescent="0.3">
      <c r="D1613" s="23"/>
      <c r="AH1613" s="34"/>
      <c r="AI1613" s="34"/>
    </row>
    <row r="1614" spans="4:35" s="2" customFormat="1" ht="27" customHeight="1" x14ac:dyDescent="0.3">
      <c r="D1614" s="23"/>
      <c r="AH1614" s="34"/>
      <c r="AI1614" s="34"/>
    </row>
    <row r="1615" spans="4:35" s="2" customFormat="1" ht="27" customHeight="1" x14ac:dyDescent="0.3">
      <c r="D1615" s="23"/>
      <c r="AH1615" s="34"/>
      <c r="AI1615" s="34"/>
    </row>
    <row r="1616" spans="4:35" s="2" customFormat="1" ht="27" customHeight="1" x14ac:dyDescent="0.3">
      <c r="D1616" s="23"/>
      <c r="AH1616" s="34"/>
      <c r="AI1616" s="34"/>
    </row>
    <row r="1617" spans="4:35" s="2" customFormat="1" ht="27" customHeight="1" x14ac:dyDescent="0.3">
      <c r="D1617" s="23"/>
      <c r="AH1617" s="34"/>
      <c r="AI1617" s="34"/>
    </row>
    <row r="1618" spans="4:35" s="2" customFormat="1" ht="27" customHeight="1" x14ac:dyDescent="0.3">
      <c r="D1618" s="23"/>
      <c r="AH1618" s="34"/>
      <c r="AI1618" s="34"/>
    </row>
    <row r="1619" spans="4:35" s="2" customFormat="1" ht="27" customHeight="1" x14ac:dyDescent="0.3">
      <c r="D1619" s="23"/>
      <c r="AH1619" s="34"/>
      <c r="AI1619" s="34"/>
    </row>
    <row r="1620" spans="4:35" s="2" customFormat="1" ht="27" customHeight="1" x14ac:dyDescent="0.3">
      <c r="D1620" s="23"/>
      <c r="AH1620" s="34"/>
      <c r="AI1620" s="34"/>
    </row>
    <row r="1621" spans="4:35" s="2" customFormat="1" ht="27" customHeight="1" x14ac:dyDescent="0.3">
      <c r="D1621" s="23"/>
      <c r="AH1621" s="34"/>
      <c r="AI1621" s="34"/>
    </row>
    <row r="1622" spans="4:35" s="2" customFormat="1" ht="27" customHeight="1" x14ac:dyDescent="0.3">
      <c r="D1622" s="23"/>
      <c r="AH1622" s="34"/>
      <c r="AI1622" s="34"/>
    </row>
    <row r="1623" spans="4:35" s="2" customFormat="1" ht="27" customHeight="1" x14ac:dyDescent="0.3">
      <c r="D1623" s="23"/>
      <c r="AH1623" s="34"/>
      <c r="AI1623" s="34"/>
    </row>
    <row r="1624" spans="4:35" s="2" customFormat="1" ht="27" customHeight="1" x14ac:dyDescent="0.3">
      <c r="D1624" s="23"/>
      <c r="AH1624" s="34"/>
      <c r="AI1624" s="34"/>
    </row>
    <row r="1625" spans="4:35" s="2" customFormat="1" ht="27" customHeight="1" x14ac:dyDescent="0.3">
      <c r="D1625" s="23"/>
      <c r="AH1625" s="34"/>
      <c r="AI1625" s="34"/>
    </row>
    <row r="1626" spans="4:35" s="2" customFormat="1" ht="27" customHeight="1" x14ac:dyDescent="0.3">
      <c r="D1626" s="23"/>
      <c r="AH1626" s="34"/>
      <c r="AI1626" s="34"/>
    </row>
    <row r="1627" spans="4:35" s="2" customFormat="1" ht="27" customHeight="1" x14ac:dyDescent="0.3">
      <c r="D1627" s="23"/>
      <c r="AH1627" s="34"/>
      <c r="AI1627" s="34"/>
    </row>
    <row r="1628" spans="4:35" s="2" customFormat="1" ht="27" customHeight="1" x14ac:dyDescent="0.3">
      <c r="D1628" s="23"/>
      <c r="AH1628" s="34"/>
      <c r="AI1628" s="34"/>
    </row>
    <row r="1629" spans="4:35" s="2" customFormat="1" ht="27" customHeight="1" x14ac:dyDescent="0.3">
      <c r="D1629" s="23"/>
      <c r="AH1629" s="34"/>
      <c r="AI1629" s="34"/>
    </row>
    <row r="1630" spans="4:35" s="2" customFormat="1" ht="27" customHeight="1" x14ac:dyDescent="0.3">
      <c r="D1630" s="23"/>
      <c r="AH1630" s="34"/>
      <c r="AI1630" s="34"/>
    </row>
    <row r="1631" spans="4:35" s="2" customFormat="1" ht="27" customHeight="1" x14ac:dyDescent="0.3">
      <c r="D1631" s="23"/>
      <c r="AH1631" s="34"/>
      <c r="AI1631" s="34"/>
    </row>
    <row r="1632" spans="4:35" s="2" customFormat="1" ht="27" customHeight="1" x14ac:dyDescent="0.3">
      <c r="D1632" s="23"/>
      <c r="AH1632" s="34"/>
      <c r="AI1632" s="34"/>
    </row>
    <row r="1633" spans="4:35" s="2" customFormat="1" ht="27" customHeight="1" x14ac:dyDescent="0.3">
      <c r="D1633" s="23"/>
      <c r="AH1633" s="34"/>
      <c r="AI1633" s="34"/>
    </row>
    <row r="1634" spans="4:35" s="2" customFormat="1" ht="27" customHeight="1" x14ac:dyDescent="0.3">
      <c r="D1634" s="23"/>
      <c r="AH1634" s="34"/>
      <c r="AI1634" s="34"/>
    </row>
    <row r="1635" spans="4:35" s="2" customFormat="1" ht="27" customHeight="1" x14ac:dyDescent="0.3">
      <c r="D1635" s="23"/>
      <c r="AH1635" s="34"/>
      <c r="AI1635" s="34"/>
    </row>
    <row r="1636" spans="4:35" s="2" customFormat="1" ht="27" customHeight="1" x14ac:dyDescent="0.3">
      <c r="D1636" s="23"/>
      <c r="AH1636" s="34"/>
      <c r="AI1636" s="34"/>
    </row>
    <row r="1637" spans="4:35" s="2" customFormat="1" ht="27" customHeight="1" x14ac:dyDescent="0.3">
      <c r="D1637" s="23"/>
      <c r="AH1637" s="34"/>
      <c r="AI1637" s="34"/>
    </row>
    <row r="1638" spans="4:35" s="2" customFormat="1" ht="27" customHeight="1" x14ac:dyDescent="0.3">
      <c r="D1638" s="23"/>
      <c r="AH1638" s="34"/>
      <c r="AI1638" s="34"/>
    </row>
    <row r="1639" spans="4:35" s="2" customFormat="1" ht="27" customHeight="1" x14ac:dyDescent="0.3">
      <c r="D1639" s="23"/>
      <c r="AH1639" s="34"/>
      <c r="AI1639" s="34"/>
    </row>
    <row r="1640" spans="4:35" s="2" customFormat="1" ht="27" customHeight="1" x14ac:dyDescent="0.3">
      <c r="D1640" s="23"/>
      <c r="AH1640" s="34"/>
      <c r="AI1640" s="34"/>
    </row>
    <row r="1641" spans="4:35" s="2" customFormat="1" ht="27" customHeight="1" x14ac:dyDescent="0.3">
      <c r="D1641" s="23"/>
      <c r="AH1641" s="34"/>
      <c r="AI1641" s="34"/>
    </row>
    <row r="1642" spans="4:35" s="2" customFormat="1" ht="27" customHeight="1" x14ac:dyDescent="0.3">
      <c r="D1642" s="23"/>
      <c r="AH1642" s="34"/>
      <c r="AI1642" s="34"/>
    </row>
    <row r="1643" spans="4:35" s="2" customFormat="1" ht="27" customHeight="1" x14ac:dyDescent="0.3">
      <c r="D1643" s="23"/>
      <c r="AH1643" s="34"/>
      <c r="AI1643" s="34"/>
    </row>
    <row r="1644" spans="4:35" s="2" customFormat="1" ht="27" customHeight="1" x14ac:dyDescent="0.3">
      <c r="D1644" s="23"/>
      <c r="AH1644" s="34"/>
      <c r="AI1644" s="34"/>
    </row>
    <row r="1645" spans="4:35" s="2" customFormat="1" ht="27" customHeight="1" x14ac:dyDescent="0.3">
      <c r="D1645" s="23"/>
      <c r="AH1645" s="34"/>
      <c r="AI1645" s="34"/>
    </row>
    <row r="1646" spans="4:35" s="2" customFormat="1" ht="27" customHeight="1" x14ac:dyDescent="0.3">
      <c r="D1646" s="23"/>
      <c r="AH1646" s="34"/>
      <c r="AI1646" s="34"/>
    </row>
    <row r="1647" spans="4:35" s="2" customFormat="1" ht="27" customHeight="1" x14ac:dyDescent="0.3">
      <c r="D1647" s="23"/>
      <c r="AH1647" s="34"/>
      <c r="AI1647" s="34"/>
    </row>
    <row r="1648" spans="4:35" s="2" customFormat="1" ht="27" customHeight="1" x14ac:dyDescent="0.3">
      <c r="D1648" s="23"/>
      <c r="AH1648" s="34"/>
      <c r="AI1648" s="34"/>
    </row>
    <row r="1649" spans="4:35" s="2" customFormat="1" ht="27" customHeight="1" x14ac:dyDescent="0.3">
      <c r="D1649" s="23"/>
      <c r="AH1649" s="34"/>
      <c r="AI1649" s="34"/>
    </row>
    <row r="1650" spans="4:35" s="2" customFormat="1" ht="27" customHeight="1" x14ac:dyDescent="0.3">
      <c r="D1650" s="23"/>
      <c r="AH1650" s="34"/>
      <c r="AI1650" s="34"/>
    </row>
    <row r="1651" spans="4:35" s="2" customFormat="1" ht="27" customHeight="1" x14ac:dyDescent="0.3">
      <c r="D1651" s="23"/>
      <c r="AH1651" s="34"/>
      <c r="AI1651" s="34"/>
    </row>
    <row r="1652" spans="4:35" s="2" customFormat="1" ht="27" customHeight="1" x14ac:dyDescent="0.3">
      <c r="D1652" s="23"/>
      <c r="AH1652" s="34"/>
      <c r="AI1652" s="34"/>
    </row>
    <row r="1653" spans="4:35" s="2" customFormat="1" ht="27" customHeight="1" x14ac:dyDescent="0.3">
      <c r="D1653" s="23"/>
      <c r="AH1653" s="34"/>
      <c r="AI1653" s="34"/>
    </row>
    <row r="1654" spans="4:35" s="2" customFormat="1" ht="27" customHeight="1" x14ac:dyDescent="0.3">
      <c r="D1654" s="23"/>
      <c r="AH1654" s="34"/>
      <c r="AI1654" s="34"/>
    </row>
    <row r="1655" spans="4:35" s="2" customFormat="1" ht="27" customHeight="1" x14ac:dyDescent="0.3">
      <c r="D1655" s="23"/>
      <c r="AH1655" s="34"/>
      <c r="AI1655" s="34"/>
    </row>
    <row r="1656" spans="4:35" s="2" customFormat="1" ht="27" customHeight="1" x14ac:dyDescent="0.3">
      <c r="D1656" s="23"/>
      <c r="AH1656" s="34"/>
      <c r="AI1656" s="34"/>
    </row>
    <row r="1657" spans="4:35" s="2" customFormat="1" ht="27" customHeight="1" x14ac:dyDescent="0.3">
      <c r="D1657" s="23"/>
      <c r="AH1657" s="34"/>
      <c r="AI1657" s="34"/>
    </row>
    <row r="1658" spans="4:35" s="2" customFormat="1" ht="27" customHeight="1" x14ac:dyDescent="0.3">
      <c r="D1658" s="23"/>
      <c r="AH1658" s="34"/>
      <c r="AI1658" s="34"/>
    </row>
    <row r="1659" spans="4:35" s="2" customFormat="1" ht="27" customHeight="1" x14ac:dyDescent="0.3">
      <c r="D1659" s="23"/>
      <c r="AH1659" s="34"/>
      <c r="AI1659" s="34"/>
    </row>
    <row r="1660" spans="4:35" s="2" customFormat="1" ht="27" customHeight="1" x14ac:dyDescent="0.3">
      <c r="D1660" s="23"/>
      <c r="AH1660" s="34"/>
      <c r="AI1660" s="34"/>
    </row>
    <row r="1661" spans="4:35" s="2" customFormat="1" ht="27" customHeight="1" x14ac:dyDescent="0.3">
      <c r="D1661" s="23"/>
      <c r="AH1661" s="34"/>
      <c r="AI1661" s="34"/>
    </row>
    <row r="1662" spans="4:35" s="2" customFormat="1" ht="27" customHeight="1" x14ac:dyDescent="0.3">
      <c r="D1662" s="23"/>
      <c r="AH1662" s="34"/>
      <c r="AI1662" s="34"/>
    </row>
    <row r="1663" spans="4:35" s="2" customFormat="1" ht="27" customHeight="1" x14ac:dyDescent="0.3">
      <c r="D1663" s="23"/>
      <c r="AH1663" s="34"/>
      <c r="AI1663" s="34"/>
    </row>
    <row r="1664" spans="4:35" s="2" customFormat="1" ht="27" customHeight="1" x14ac:dyDescent="0.3">
      <c r="D1664" s="23"/>
      <c r="AH1664" s="34"/>
      <c r="AI1664" s="34"/>
    </row>
    <row r="1665" spans="4:35" s="2" customFormat="1" ht="27" customHeight="1" x14ac:dyDescent="0.3">
      <c r="D1665" s="23"/>
      <c r="AH1665" s="34"/>
      <c r="AI1665" s="34"/>
    </row>
    <row r="1666" spans="4:35" s="2" customFormat="1" ht="27" customHeight="1" x14ac:dyDescent="0.3">
      <c r="D1666" s="23"/>
      <c r="AH1666" s="34"/>
      <c r="AI1666" s="34"/>
    </row>
    <row r="1667" spans="4:35" s="2" customFormat="1" ht="27" customHeight="1" x14ac:dyDescent="0.3">
      <c r="D1667" s="23"/>
      <c r="AH1667" s="34"/>
      <c r="AI1667" s="34"/>
    </row>
    <row r="1668" spans="4:35" s="2" customFormat="1" ht="27" customHeight="1" x14ac:dyDescent="0.3">
      <c r="D1668" s="23"/>
      <c r="AH1668" s="34"/>
      <c r="AI1668" s="34"/>
    </row>
    <row r="1669" spans="4:35" s="2" customFormat="1" ht="27" customHeight="1" x14ac:dyDescent="0.3">
      <c r="D1669" s="23"/>
      <c r="AH1669" s="34"/>
      <c r="AI1669" s="34"/>
    </row>
    <row r="1670" spans="4:35" s="2" customFormat="1" ht="27" customHeight="1" x14ac:dyDescent="0.3">
      <c r="D1670" s="23"/>
      <c r="AH1670" s="34"/>
      <c r="AI1670" s="34"/>
    </row>
    <row r="1671" spans="4:35" s="2" customFormat="1" ht="27" customHeight="1" x14ac:dyDescent="0.3">
      <c r="D1671" s="23"/>
      <c r="AH1671" s="34"/>
      <c r="AI1671" s="34"/>
    </row>
    <row r="1672" spans="4:35" s="2" customFormat="1" ht="27" customHeight="1" x14ac:dyDescent="0.3">
      <c r="D1672" s="23"/>
      <c r="AH1672" s="34"/>
      <c r="AI1672" s="34"/>
    </row>
    <row r="1673" spans="4:35" s="2" customFormat="1" ht="27" customHeight="1" x14ac:dyDescent="0.3">
      <c r="D1673" s="23"/>
      <c r="AH1673" s="34"/>
      <c r="AI1673" s="34"/>
    </row>
    <row r="1674" spans="4:35" s="2" customFormat="1" ht="27" customHeight="1" x14ac:dyDescent="0.3">
      <c r="D1674" s="23"/>
      <c r="AH1674" s="34"/>
      <c r="AI1674" s="34"/>
    </row>
    <row r="1675" spans="4:35" s="2" customFormat="1" ht="27" customHeight="1" x14ac:dyDescent="0.3">
      <c r="D1675" s="23"/>
      <c r="AH1675" s="34"/>
      <c r="AI1675" s="34"/>
    </row>
    <row r="1676" spans="4:35" s="2" customFormat="1" ht="27" customHeight="1" x14ac:dyDescent="0.3">
      <c r="D1676" s="23"/>
      <c r="AH1676" s="34"/>
      <c r="AI1676" s="34"/>
    </row>
    <row r="1677" spans="4:35" s="2" customFormat="1" ht="27" customHeight="1" x14ac:dyDescent="0.3">
      <c r="D1677" s="23"/>
      <c r="AH1677" s="34"/>
      <c r="AI1677" s="34"/>
    </row>
    <row r="1678" spans="4:35" s="2" customFormat="1" ht="27" customHeight="1" x14ac:dyDescent="0.3">
      <c r="D1678" s="23"/>
      <c r="AH1678" s="34"/>
      <c r="AI1678" s="34"/>
    </row>
    <row r="1679" spans="4:35" s="2" customFormat="1" ht="27" customHeight="1" x14ac:dyDescent="0.3">
      <c r="D1679" s="23"/>
      <c r="AH1679" s="34"/>
      <c r="AI1679" s="34"/>
    </row>
    <row r="1680" spans="4:35" s="2" customFormat="1" ht="27" customHeight="1" x14ac:dyDescent="0.3">
      <c r="D1680" s="23"/>
      <c r="AH1680" s="34"/>
      <c r="AI1680" s="34"/>
    </row>
    <row r="1681" spans="4:35" s="2" customFormat="1" ht="27" customHeight="1" x14ac:dyDescent="0.3">
      <c r="D1681" s="23"/>
      <c r="AH1681" s="34"/>
      <c r="AI1681" s="34"/>
    </row>
    <row r="1682" spans="4:35" s="2" customFormat="1" ht="27" customHeight="1" x14ac:dyDescent="0.3">
      <c r="D1682" s="23"/>
      <c r="AH1682" s="34"/>
      <c r="AI1682" s="34"/>
    </row>
    <row r="1683" spans="4:35" s="2" customFormat="1" ht="27" customHeight="1" x14ac:dyDescent="0.3">
      <c r="D1683" s="23"/>
      <c r="AH1683" s="34"/>
      <c r="AI1683" s="34"/>
    </row>
    <row r="1684" spans="4:35" s="2" customFormat="1" ht="27" customHeight="1" x14ac:dyDescent="0.3">
      <c r="D1684" s="23"/>
      <c r="AH1684" s="34"/>
      <c r="AI1684" s="34"/>
    </row>
    <row r="1685" spans="4:35" s="2" customFormat="1" ht="27" customHeight="1" x14ac:dyDescent="0.3">
      <c r="D1685" s="23"/>
      <c r="AH1685" s="34"/>
      <c r="AI1685" s="34"/>
    </row>
    <row r="1686" spans="4:35" s="2" customFormat="1" ht="27" customHeight="1" x14ac:dyDescent="0.3">
      <c r="D1686" s="23"/>
      <c r="AH1686" s="34"/>
      <c r="AI1686" s="34"/>
    </row>
    <row r="1687" spans="4:35" s="2" customFormat="1" ht="27" customHeight="1" x14ac:dyDescent="0.3">
      <c r="D1687" s="23"/>
      <c r="AH1687" s="34"/>
      <c r="AI1687" s="34"/>
    </row>
    <row r="1688" spans="4:35" s="2" customFormat="1" ht="27" customHeight="1" x14ac:dyDescent="0.3">
      <c r="D1688" s="23"/>
      <c r="AH1688" s="34"/>
      <c r="AI1688" s="34"/>
    </row>
    <row r="1689" spans="4:35" s="2" customFormat="1" ht="27" customHeight="1" x14ac:dyDescent="0.3">
      <c r="D1689" s="23"/>
      <c r="AH1689" s="34"/>
      <c r="AI1689" s="34"/>
    </row>
    <row r="1690" spans="4:35" s="2" customFormat="1" ht="27" customHeight="1" x14ac:dyDescent="0.3">
      <c r="D1690" s="23"/>
      <c r="AH1690" s="34"/>
      <c r="AI1690" s="34"/>
    </row>
    <row r="1691" spans="4:35" s="2" customFormat="1" ht="27" customHeight="1" x14ac:dyDescent="0.3">
      <c r="D1691" s="23"/>
      <c r="AH1691" s="34"/>
      <c r="AI1691" s="34"/>
    </row>
    <row r="1692" spans="4:35" s="2" customFormat="1" ht="27" customHeight="1" x14ac:dyDescent="0.3">
      <c r="D1692" s="23"/>
      <c r="AH1692" s="34"/>
      <c r="AI1692" s="34"/>
    </row>
    <row r="1693" spans="4:35" s="2" customFormat="1" ht="27" customHeight="1" x14ac:dyDescent="0.3">
      <c r="D1693" s="23"/>
      <c r="AH1693" s="34"/>
      <c r="AI1693" s="34"/>
    </row>
    <row r="1694" spans="4:35" s="2" customFormat="1" ht="27" customHeight="1" x14ac:dyDescent="0.3">
      <c r="D1694" s="23"/>
      <c r="AH1694" s="34"/>
      <c r="AI1694" s="34"/>
    </row>
    <row r="1695" spans="4:35" s="2" customFormat="1" ht="27" customHeight="1" x14ac:dyDescent="0.3">
      <c r="D1695" s="23"/>
      <c r="AH1695" s="34"/>
      <c r="AI1695" s="34"/>
    </row>
    <row r="1696" spans="4:35" s="2" customFormat="1" ht="27" customHeight="1" x14ac:dyDescent="0.3">
      <c r="D1696" s="23"/>
      <c r="AH1696" s="34"/>
      <c r="AI1696" s="34"/>
    </row>
    <row r="1697" spans="4:35" s="2" customFormat="1" ht="27" customHeight="1" x14ac:dyDescent="0.3">
      <c r="D1697" s="23"/>
      <c r="AH1697" s="34"/>
      <c r="AI1697" s="34"/>
    </row>
    <row r="1698" spans="4:35" s="2" customFormat="1" ht="27" customHeight="1" x14ac:dyDescent="0.3">
      <c r="D1698" s="23"/>
      <c r="AH1698" s="34"/>
      <c r="AI1698" s="34"/>
    </row>
    <row r="1699" spans="4:35" s="2" customFormat="1" ht="27" customHeight="1" x14ac:dyDescent="0.3">
      <c r="D1699" s="23"/>
      <c r="AH1699" s="34"/>
      <c r="AI1699" s="34"/>
    </row>
    <row r="1700" spans="4:35" s="2" customFormat="1" ht="27" customHeight="1" x14ac:dyDescent="0.3">
      <c r="D1700" s="23"/>
      <c r="AH1700" s="34"/>
      <c r="AI1700" s="34"/>
    </row>
    <row r="1701" spans="4:35" s="2" customFormat="1" ht="27" customHeight="1" x14ac:dyDescent="0.3">
      <c r="D1701" s="23"/>
      <c r="AH1701" s="34"/>
      <c r="AI1701" s="34"/>
    </row>
    <row r="1702" spans="4:35" s="2" customFormat="1" ht="27" customHeight="1" x14ac:dyDescent="0.3">
      <c r="D1702" s="23"/>
      <c r="AH1702" s="34"/>
      <c r="AI1702" s="34"/>
    </row>
    <row r="1703" spans="4:35" s="2" customFormat="1" ht="27" customHeight="1" x14ac:dyDescent="0.3">
      <c r="D1703" s="23"/>
      <c r="AH1703" s="34"/>
      <c r="AI1703" s="34"/>
    </row>
    <row r="1704" spans="4:35" s="2" customFormat="1" ht="27" customHeight="1" x14ac:dyDescent="0.3">
      <c r="D1704" s="23"/>
      <c r="AH1704" s="34"/>
      <c r="AI1704" s="34"/>
    </row>
    <row r="1705" spans="4:35" s="2" customFormat="1" ht="27" customHeight="1" x14ac:dyDescent="0.3">
      <c r="D1705" s="23"/>
      <c r="AH1705" s="34"/>
      <c r="AI1705" s="34"/>
    </row>
    <row r="1706" spans="4:35" s="2" customFormat="1" ht="27" customHeight="1" x14ac:dyDescent="0.3">
      <c r="D1706" s="23"/>
      <c r="AH1706" s="34"/>
      <c r="AI1706" s="34"/>
    </row>
    <row r="1707" spans="4:35" s="2" customFormat="1" ht="27" customHeight="1" x14ac:dyDescent="0.3">
      <c r="D1707" s="23"/>
      <c r="AH1707" s="34"/>
      <c r="AI1707" s="34"/>
    </row>
    <row r="1708" spans="4:35" s="2" customFormat="1" ht="27" customHeight="1" x14ac:dyDescent="0.3">
      <c r="D1708" s="23"/>
      <c r="AH1708" s="34"/>
      <c r="AI1708" s="34"/>
    </row>
    <row r="1709" spans="4:35" s="2" customFormat="1" ht="27" customHeight="1" x14ac:dyDescent="0.3">
      <c r="D1709" s="23"/>
      <c r="AH1709" s="34"/>
      <c r="AI1709" s="34"/>
    </row>
    <row r="1710" spans="4:35" s="2" customFormat="1" ht="27" customHeight="1" x14ac:dyDescent="0.3">
      <c r="D1710" s="23"/>
      <c r="AH1710" s="34"/>
      <c r="AI1710" s="34"/>
    </row>
    <row r="1711" spans="4:35" s="2" customFormat="1" ht="27" customHeight="1" x14ac:dyDescent="0.3">
      <c r="D1711" s="23"/>
      <c r="AH1711" s="34"/>
      <c r="AI1711" s="34"/>
    </row>
    <row r="1712" spans="4:35" s="2" customFormat="1" ht="27" customHeight="1" x14ac:dyDescent="0.3">
      <c r="D1712" s="23"/>
      <c r="AH1712" s="34"/>
      <c r="AI1712" s="34"/>
    </row>
    <row r="1713" spans="4:35" s="2" customFormat="1" ht="27" customHeight="1" x14ac:dyDescent="0.3">
      <c r="D1713" s="23"/>
      <c r="AH1713" s="34"/>
      <c r="AI1713" s="34"/>
    </row>
    <row r="1714" spans="4:35" s="2" customFormat="1" ht="27" customHeight="1" x14ac:dyDescent="0.3">
      <c r="D1714" s="23"/>
      <c r="AH1714" s="34"/>
      <c r="AI1714" s="34"/>
    </row>
    <row r="1715" spans="4:35" s="2" customFormat="1" ht="27" customHeight="1" x14ac:dyDescent="0.3">
      <c r="D1715" s="23"/>
      <c r="AH1715" s="34"/>
      <c r="AI1715" s="34"/>
    </row>
    <row r="1716" spans="4:35" s="2" customFormat="1" ht="27" customHeight="1" x14ac:dyDescent="0.3">
      <c r="D1716" s="23"/>
      <c r="AH1716" s="34"/>
      <c r="AI1716" s="34"/>
    </row>
    <row r="1717" spans="4:35" s="2" customFormat="1" ht="27" customHeight="1" x14ac:dyDescent="0.3">
      <c r="D1717" s="23"/>
      <c r="AH1717" s="34"/>
      <c r="AI1717" s="34"/>
    </row>
    <row r="1718" spans="4:35" s="2" customFormat="1" ht="27" customHeight="1" x14ac:dyDescent="0.3">
      <c r="D1718" s="23"/>
      <c r="AH1718" s="34"/>
      <c r="AI1718" s="34"/>
    </row>
    <row r="1719" spans="4:35" s="2" customFormat="1" ht="27" customHeight="1" x14ac:dyDescent="0.3">
      <c r="D1719" s="23"/>
      <c r="AH1719" s="34"/>
      <c r="AI1719" s="34"/>
    </row>
    <row r="1720" spans="4:35" s="2" customFormat="1" ht="27" customHeight="1" x14ac:dyDescent="0.3">
      <c r="D1720" s="23"/>
      <c r="AH1720" s="34"/>
      <c r="AI1720" s="34"/>
    </row>
    <row r="1721" spans="4:35" s="2" customFormat="1" ht="27" customHeight="1" x14ac:dyDescent="0.3">
      <c r="D1721" s="23"/>
      <c r="AH1721" s="34"/>
      <c r="AI1721" s="34"/>
    </row>
    <row r="1722" spans="4:35" s="2" customFormat="1" ht="27" customHeight="1" x14ac:dyDescent="0.3">
      <c r="D1722" s="23"/>
      <c r="AH1722" s="34"/>
      <c r="AI1722" s="34"/>
    </row>
    <row r="1723" spans="4:35" s="2" customFormat="1" ht="27" customHeight="1" x14ac:dyDescent="0.3">
      <c r="D1723" s="23"/>
      <c r="AH1723" s="34"/>
      <c r="AI1723" s="34"/>
    </row>
    <row r="1724" spans="4:35" s="2" customFormat="1" ht="27" customHeight="1" x14ac:dyDescent="0.3">
      <c r="D1724" s="23"/>
      <c r="AH1724" s="34"/>
      <c r="AI1724" s="34"/>
    </row>
    <row r="1725" spans="4:35" s="2" customFormat="1" ht="27" customHeight="1" x14ac:dyDescent="0.3">
      <c r="D1725" s="23"/>
      <c r="AH1725" s="34"/>
      <c r="AI1725" s="34"/>
    </row>
    <row r="1726" spans="4:35" s="2" customFormat="1" ht="27" customHeight="1" x14ac:dyDescent="0.3">
      <c r="D1726" s="23"/>
      <c r="AH1726" s="34"/>
      <c r="AI1726" s="34"/>
    </row>
    <row r="1727" spans="4:35" s="2" customFormat="1" ht="27" customHeight="1" x14ac:dyDescent="0.3">
      <c r="D1727" s="23"/>
      <c r="AH1727" s="34"/>
      <c r="AI1727" s="34"/>
    </row>
    <row r="1728" spans="4:35" s="2" customFormat="1" ht="27" customHeight="1" x14ac:dyDescent="0.3">
      <c r="D1728" s="23"/>
      <c r="AH1728" s="34"/>
      <c r="AI1728" s="34"/>
    </row>
    <row r="1729" spans="4:35" s="2" customFormat="1" ht="27" customHeight="1" x14ac:dyDescent="0.3">
      <c r="D1729" s="23"/>
      <c r="AH1729" s="34"/>
      <c r="AI1729" s="34"/>
    </row>
    <row r="1730" spans="4:35" s="2" customFormat="1" ht="27" customHeight="1" x14ac:dyDescent="0.3">
      <c r="D1730" s="23"/>
      <c r="AH1730" s="34"/>
      <c r="AI1730" s="34"/>
    </row>
    <row r="1731" spans="4:35" s="2" customFormat="1" ht="27" customHeight="1" x14ac:dyDescent="0.3">
      <c r="D1731" s="23"/>
      <c r="AH1731" s="34"/>
      <c r="AI1731" s="34"/>
    </row>
    <row r="1732" spans="4:35" s="2" customFormat="1" ht="27" customHeight="1" x14ac:dyDescent="0.3">
      <c r="D1732" s="23"/>
      <c r="AH1732" s="34"/>
      <c r="AI1732" s="34"/>
    </row>
    <row r="1733" spans="4:35" s="2" customFormat="1" ht="27" customHeight="1" x14ac:dyDescent="0.3">
      <c r="D1733" s="23"/>
      <c r="AH1733" s="34"/>
      <c r="AI1733" s="34"/>
    </row>
    <row r="1734" spans="4:35" s="2" customFormat="1" ht="27" customHeight="1" x14ac:dyDescent="0.3">
      <c r="D1734" s="23"/>
      <c r="AH1734" s="34"/>
      <c r="AI1734" s="34"/>
    </row>
    <row r="1735" spans="4:35" s="2" customFormat="1" ht="27" customHeight="1" x14ac:dyDescent="0.3">
      <c r="D1735" s="23"/>
      <c r="AH1735" s="34"/>
      <c r="AI1735" s="34"/>
    </row>
    <row r="1736" spans="4:35" s="2" customFormat="1" ht="27" customHeight="1" x14ac:dyDescent="0.3">
      <c r="D1736" s="23"/>
      <c r="AH1736" s="34"/>
      <c r="AI1736" s="34"/>
    </row>
    <row r="1737" spans="4:35" s="2" customFormat="1" ht="27" customHeight="1" x14ac:dyDescent="0.3">
      <c r="D1737" s="23"/>
      <c r="AH1737" s="34"/>
      <c r="AI1737" s="34"/>
    </row>
    <row r="1738" spans="4:35" s="2" customFormat="1" ht="27" customHeight="1" x14ac:dyDescent="0.3">
      <c r="D1738" s="23"/>
      <c r="AH1738" s="34"/>
      <c r="AI1738" s="34"/>
    </row>
    <row r="1739" spans="4:35" s="2" customFormat="1" ht="27" customHeight="1" x14ac:dyDescent="0.3">
      <c r="D1739" s="23"/>
      <c r="AH1739" s="34"/>
      <c r="AI1739" s="34"/>
    </row>
    <row r="1740" spans="4:35" s="2" customFormat="1" ht="27" customHeight="1" x14ac:dyDescent="0.3">
      <c r="D1740" s="23"/>
      <c r="AH1740" s="34"/>
      <c r="AI1740" s="34"/>
    </row>
    <row r="1741" spans="4:35" s="2" customFormat="1" ht="27" customHeight="1" x14ac:dyDescent="0.3">
      <c r="D1741" s="23"/>
      <c r="AH1741" s="34"/>
      <c r="AI1741" s="34"/>
    </row>
    <row r="1742" spans="4:35" s="2" customFormat="1" ht="27" customHeight="1" x14ac:dyDescent="0.3">
      <c r="D1742" s="23"/>
      <c r="AH1742" s="34"/>
      <c r="AI1742" s="34"/>
    </row>
    <row r="1743" spans="4:35" s="2" customFormat="1" ht="27" customHeight="1" x14ac:dyDescent="0.3">
      <c r="D1743" s="23"/>
      <c r="AH1743" s="34"/>
      <c r="AI1743" s="34"/>
    </row>
    <row r="1744" spans="4:35" s="2" customFormat="1" ht="27" customHeight="1" x14ac:dyDescent="0.3">
      <c r="D1744" s="23"/>
      <c r="AH1744" s="34"/>
      <c r="AI1744" s="34"/>
    </row>
    <row r="1745" spans="4:35" s="2" customFormat="1" ht="27" customHeight="1" x14ac:dyDescent="0.3">
      <c r="D1745" s="23"/>
      <c r="AH1745" s="34"/>
      <c r="AI1745" s="34"/>
    </row>
    <row r="1746" spans="4:35" s="2" customFormat="1" ht="27" customHeight="1" x14ac:dyDescent="0.3">
      <c r="D1746" s="23"/>
      <c r="AH1746" s="34"/>
      <c r="AI1746" s="34"/>
    </row>
    <row r="1747" spans="4:35" s="2" customFormat="1" ht="27" customHeight="1" x14ac:dyDescent="0.3">
      <c r="D1747" s="23"/>
      <c r="AH1747" s="34"/>
      <c r="AI1747" s="34"/>
    </row>
    <row r="1748" spans="4:35" s="2" customFormat="1" ht="27" customHeight="1" x14ac:dyDescent="0.3">
      <c r="D1748" s="23"/>
      <c r="AH1748" s="34"/>
      <c r="AI1748" s="34"/>
    </row>
    <row r="1749" spans="4:35" s="2" customFormat="1" ht="27" customHeight="1" x14ac:dyDescent="0.3">
      <c r="D1749" s="23"/>
      <c r="AH1749" s="34"/>
      <c r="AI1749" s="34"/>
    </row>
    <row r="1750" spans="4:35" s="2" customFormat="1" ht="27" customHeight="1" x14ac:dyDescent="0.3">
      <c r="D1750" s="23"/>
      <c r="AH1750" s="34"/>
      <c r="AI1750" s="34"/>
    </row>
    <row r="1751" spans="4:35" s="2" customFormat="1" ht="27" customHeight="1" x14ac:dyDescent="0.3">
      <c r="D1751" s="23"/>
      <c r="AH1751" s="34"/>
      <c r="AI1751" s="34"/>
    </row>
    <row r="1752" spans="4:35" s="2" customFormat="1" ht="27" customHeight="1" x14ac:dyDescent="0.3">
      <c r="D1752" s="23"/>
      <c r="AH1752" s="34"/>
      <c r="AI1752" s="34"/>
    </row>
    <row r="1753" spans="4:35" s="2" customFormat="1" ht="27" customHeight="1" x14ac:dyDescent="0.3">
      <c r="D1753" s="23"/>
      <c r="AH1753" s="34"/>
      <c r="AI1753" s="34"/>
    </row>
    <row r="1754" spans="4:35" s="2" customFormat="1" ht="27" customHeight="1" x14ac:dyDescent="0.3">
      <c r="D1754" s="23"/>
      <c r="AH1754" s="34"/>
      <c r="AI1754" s="34"/>
    </row>
    <row r="1755" spans="4:35" s="2" customFormat="1" ht="27" customHeight="1" x14ac:dyDescent="0.3">
      <c r="D1755" s="23"/>
      <c r="AH1755" s="34"/>
      <c r="AI1755" s="34"/>
    </row>
    <row r="1756" spans="4:35" s="2" customFormat="1" ht="27" customHeight="1" x14ac:dyDescent="0.3">
      <c r="D1756" s="23"/>
      <c r="AH1756" s="34"/>
      <c r="AI1756" s="34"/>
    </row>
    <row r="1757" spans="4:35" s="2" customFormat="1" ht="27" customHeight="1" x14ac:dyDescent="0.3">
      <c r="D1757" s="23"/>
      <c r="AH1757" s="34"/>
      <c r="AI1757" s="34"/>
    </row>
    <row r="1758" spans="4:35" s="2" customFormat="1" ht="27" customHeight="1" x14ac:dyDescent="0.3">
      <c r="D1758" s="23"/>
      <c r="AH1758" s="34"/>
      <c r="AI1758" s="34"/>
    </row>
    <row r="1759" spans="4:35" s="2" customFormat="1" ht="27" customHeight="1" x14ac:dyDescent="0.3">
      <c r="D1759" s="23"/>
      <c r="AH1759" s="34"/>
      <c r="AI1759" s="34"/>
    </row>
    <row r="1760" spans="4:35" s="2" customFormat="1" ht="27" customHeight="1" x14ac:dyDescent="0.3">
      <c r="D1760" s="23"/>
      <c r="AH1760" s="34"/>
      <c r="AI1760" s="34"/>
    </row>
    <row r="1761" spans="4:35" s="2" customFormat="1" ht="27" customHeight="1" x14ac:dyDescent="0.3">
      <c r="D1761" s="23"/>
      <c r="AH1761" s="34"/>
      <c r="AI1761" s="34"/>
    </row>
    <row r="1762" spans="4:35" s="2" customFormat="1" ht="27" customHeight="1" x14ac:dyDescent="0.3">
      <c r="D1762" s="23"/>
      <c r="AH1762" s="34"/>
      <c r="AI1762" s="34"/>
    </row>
    <row r="1763" spans="4:35" s="2" customFormat="1" ht="27" customHeight="1" x14ac:dyDescent="0.3">
      <c r="D1763" s="23"/>
      <c r="AH1763" s="34"/>
      <c r="AI1763" s="34"/>
    </row>
    <row r="1764" spans="4:35" s="2" customFormat="1" ht="27" customHeight="1" x14ac:dyDescent="0.3">
      <c r="D1764" s="23"/>
      <c r="AH1764" s="34"/>
      <c r="AI1764" s="34"/>
    </row>
    <row r="1765" spans="4:35" s="2" customFormat="1" ht="27" customHeight="1" x14ac:dyDescent="0.3">
      <c r="D1765" s="23"/>
      <c r="AH1765" s="34"/>
      <c r="AI1765" s="34"/>
    </row>
    <row r="1766" spans="4:35" s="2" customFormat="1" ht="27" customHeight="1" x14ac:dyDescent="0.3">
      <c r="D1766" s="23"/>
      <c r="AH1766" s="34"/>
      <c r="AI1766" s="34"/>
    </row>
    <row r="1767" spans="4:35" s="2" customFormat="1" ht="27" customHeight="1" x14ac:dyDescent="0.3">
      <c r="D1767" s="23"/>
      <c r="AH1767" s="34"/>
      <c r="AI1767" s="34"/>
    </row>
    <row r="1768" spans="4:35" s="2" customFormat="1" ht="27" customHeight="1" x14ac:dyDescent="0.3">
      <c r="D1768" s="23"/>
      <c r="AH1768" s="34"/>
      <c r="AI1768" s="34"/>
    </row>
    <row r="1769" spans="4:35" s="2" customFormat="1" ht="27" customHeight="1" x14ac:dyDescent="0.3">
      <c r="D1769" s="23"/>
      <c r="AH1769" s="34"/>
      <c r="AI1769" s="34"/>
    </row>
    <row r="1770" spans="4:35" s="2" customFormat="1" ht="27" customHeight="1" x14ac:dyDescent="0.3">
      <c r="D1770" s="23"/>
      <c r="AH1770" s="34"/>
      <c r="AI1770" s="34"/>
    </row>
    <row r="1771" spans="4:35" s="2" customFormat="1" ht="27" customHeight="1" x14ac:dyDescent="0.3">
      <c r="D1771" s="23"/>
      <c r="AH1771" s="34"/>
      <c r="AI1771" s="34"/>
    </row>
    <row r="1772" spans="4:35" s="2" customFormat="1" ht="27" customHeight="1" x14ac:dyDescent="0.3">
      <c r="D1772" s="23"/>
      <c r="AH1772" s="34"/>
      <c r="AI1772" s="34"/>
    </row>
    <row r="1773" spans="4:35" s="2" customFormat="1" ht="27" customHeight="1" x14ac:dyDescent="0.3">
      <c r="D1773" s="23"/>
      <c r="AH1773" s="34"/>
      <c r="AI1773" s="34"/>
    </row>
    <row r="1774" spans="4:35" s="2" customFormat="1" ht="27" customHeight="1" x14ac:dyDescent="0.3">
      <c r="D1774" s="23"/>
      <c r="AH1774" s="34"/>
      <c r="AI1774" s="34"/>
    </row>
    <row r="1775" spans="4:35" s="2" customFormat="1" ht="27" customHeight="1" x14ac:dyDescent="0.3">
      <c r="D1775" s="23"/>
      <c r="AH1775" s="34"/>
      <c r="AI1775" s="34"/>
    </row>
    <row r="1776" spans="4:35" s="2" customFormat="1" ht="27" customHeight="1" x14ac:dyDescent="0.3">
      <c r="D1776" s="23"/>
      <c r="AH1776" s="34"/>
      <c r="AI1776" s="34"/>
    </row>
    <row r="1777" spans="4:35" s="2" customFormat="1" ht="27" customHeight="1" x14ac:dyDescent="0.3">
      <c r="D1777" s="23"/>
      <c r="AH1777" s="34"/>
      <c r="AI1777" s="34"/>
    </row>
    <row r="1778" spans="4:35" s="2" customFormat="1" ht="27" customHeight="1" x14ac:dyDescent="0.3">
      <c r="D1778" s="23"/>
      <c r="AH1778" s="34"/>
      <c r="AI1778" s="34"/>
    </row>
    <row r="1779" spans="4:35" s="2" customFormat="1" ht="27" customHeight="1" x14ac:dyDescent="0.3">
      <c r="D1779" s="23"/>
      <c r="AH1779" s="34"/>
      <c r="AI1779" s="34"/>
    </row>
    <row r="1780" spans="4:35" s="2" customFormat="1" ht="27" customHeight="1" x14ac:dyDescent="0.3">
      <c r="D1780" s="23"/>
      <c r="AH1780" s="34"/>
      <c r="AI1780" s="34"/>
    </row>
    <row r="1781" spans="4:35" s="2" customFormat="1" ht="27" customHeight="1" x14ac:dyDescent="0.3">
      <c r="D1781" s="23"/>
      <c r="AH1781" s="34"/>
      <c r="AI1781" s="34"/>
    </row>
    <row r="1782" spans="4:35" s="2" customFormat="1" ht="27" customHeight="1" x14ac:dyDescent="0.3">
      <c r="D1782" s="23"/>
      <c r="AH1782" s="34"/>
      <c r="AI1782" s="34"/>
    </row>
    <row r="1783" spans="4:35" s="2" customFormat="1" ht="27" customHeight="1" x14ac:dyDescent="0.3">
      <c r="D1783" s="23"/>
      <c r="AH1783" s="34"/>
      <c r="AI1783" s="34"/>
    </row>
    <row r="1784" spans="4:35" s="2" customFormat="1" ht="27" customHeight="1" x14ac:dyDescent="0.3">
      <c r="D1784" s="23"/>
      <c r="AH1784" s="34"/>
      <c r="AI1784" s="34"/>
    </row>
    <row r="1785" spans="4:35" s="2" customFormat="1" ht="27" customHeight="1" x14ac:dyDescent="0.3">
      <c r="D1785" s="23"/>
      <c r="AH1785" s="34"/>
      <c r="AI1785" s="34"/>
    </row>
    <row r="1786" spans="4:35" s="2" customFormat="1" ht="27" customHeight="1" x14ac:dyDescent="0.3">
      <c r="D1786" s="23"/>
      <c r="AH1786" s="34"/>
      <c r="AI1786" s="34"/>
    </row>
    <row r="1787" spans="4:35" s="2" customFormat="1" ht="27" customHeight="1" x14ac:dyDescent="0.3">
      <c r="D1787" s="23"/>
      <c r="AH1787" s="34"/>
      <c r="AI1787" s="34"/>
    </row>
    <row r="1788" spans="4:35" s="2" customFormat="1" ht="27" customHeight="1" x14ac:dyDescent="0.3">
      <c r="D1788" s="23"/>
      <c r="AH1788" s="34"/>
      <c r="AI1788" s="34"/>
    </row>
    <row r="1789" spans="4:35" s="2" customFormat="1" ht="27" customHeight="1" x14ac:dyDescent="0.3">
      <c r="D1789" s="23"/>
      <c r="AH1789" s="34"/>
      <c r="AI1789" s="34"/>
    </row>
    <row r="1790" spans="4:35" s="2" customFormat="1" ht="27" customHeight="1" x14ac:dyDescent="0.3">
      <c r="D1790" s="23"/>
      <c r="AH1790" s="34"/>
      <c r="AI1790" s="34"/>
    </row>
    <row r="1791" spans="4:35" s="2" customFormat="1" ht="27" customHeight="1" x14ac:dyDescent="0.3">
      <c r="D1791" s="23"/>
      <c r="AH1791" s="34"/>
      <c r="AI1791" s="34"/>
    </row>
    <row r="1792" spans="4:35" s="2" customFormat="1" ht="27" customHeight="1" x14ac:dyDescent="0.3">
      <c r="D1792" s="23"/>
      <c r="AH1792" s="34"/>
      <c r="AI1792" s="34"/>
    </row>
    <row r="1793" spans="4:35" s="2" customFormat="1" ht="27" customHeight="1" x14ac:dyDescent="0.3">
      <c r="D1793" s="23"/>
      <c r="AH1793" s="34"/>
      <c r="AI1793" s="34"/>
    </row>
    <row r="1794" spans="4:35" s="2" customFormat="1" ht="27" customHeight="1" x14ac:dyDescent="0.3">
      <c r="D1794" s="23"/>
      <c r="AH1794" s="34"/>
      <c r="AI1794" s="34"/>
    </row>
    <row r="1795" spans="4:35" s="2" customFormat="1" ht="27" customHeight="1" x14ac:dyDescent="0.3">
      <c r="D1795" s="23"/>
      <c r="AH1795" s="34"/>
      <c r="AI1795" s="34"/>
    </row>
    <row r="1796" spans="4:35" s="2" customFormat="1" ht="27" customHeight="1" x14ac:dyDescent="0.3">
      <c r="D1796" s="23"/>
      <c r="AH1796" s="34"/>
      <c r="AI1796" s="34"/>
    </row>
    <row r="1797" spans="4:35" s="2" customFormat="1" ht="27" customHeight="1" x14ac:dyDescent="0.3">
      <c r="D1797" s="23"/>
      <c r="AH1797" s="34"/>
      <c r="AI1797" s="34"/>
    </row>
    <row r="1798" spans="4:35" s="2" customFormat="1" ht="27" customHeight="1" x14ac:dyDescent="0.3">
      <c r="D1798" s="23"/>
      <c r="AH1798" s="34"/>
      <c r="AI1798" s="34"/>
    </row>
    <row r="1799" spans="4:35" s="2" customFormat="1" ht="27" customHeight="1" x14ac:dyDescent="0.3">
      <c r="D1799" s="23"/>
      <c r="AH1799" s="34"/>
      <c r="AI1799" s="34"/>
    </row>
    <row r="1800" spans="4:35" s="2" customFormat="1" ht="27" customHeight="1" x14ac:dyDescent="0.3">
      <c r="D1800" s="23"/>
      <c r="AH1800" s="34"/>
      <c r="AI1800" s="34"/>
    </row>
    <row r="1801" spans="4:35" s="2" customFormat="1" ht="27" customHeight="1" x14ac:dyDescent="0.3">
      <c r="D1801" s="23"/>
      <c r="AH1801" s="34"/>
      <c r="AI1801" s="34"/>
    </row>
    <row r="1802" spans="4:35" s="2" customFormat="1" ht="27" customHeight="1" x14ac:dyDescent="0.3">
      <c r="D1802" s="23"/>
      <c r="AH1802" s="34"/>
      <c r="AI1802" s="34"/>
    </row>
    <row r="1803" spans="4:35" s="2" customFormat="1" ht="27" customHeight="1" x14ac:dyDescent="0.3">
      <c r="D1803" s="23"/>
      <c r="AH1803" s="34"/>
      <c r="AI1803" s="34"/>
    </row>
    <row r="1804" spans="4:35" s="2" customFormat="1" ht="27" customHeight="1" x14ac:dyDescent="0.3">
      <c r="D1804" s="23"/>
      <c r="AH1804" s="34"/>
      <c r="AI1804" s="34"/>
    </row>
    <row r="1805" spans="4:35" s="2" customFormat="1" ht="27" customHeight="1" x14ac:dyDescent="0.3">
      <c r="D1805" s="23"/>
      <c r="AH1805" s="34"/>
      <c r="AI1805" s="34"/>
    </row>
    <row r="1806" spans="4:35" s="2" customFormat="1" ht="27" customHeight="1" x14ac:dyDescent="0.3">
      <c r="D1806" s="23"/>
      <c r="AH1806" s="34"/>
      <c r="AI1806" s="34"/>
    </row>
    <row r="1807" spans="4:35" s="2" customFormat="1" ht="27" customHeight="1" x14ac:dyDescent="0.3">
      <c r="D1807" s="23"/>
      <c r="AH1807" s="34"/>
      <c r="AI1807" s="34"/>
    </row>
    <row r="1808" spans="4:35" s="2" customFormat="1" ht="27" customHeight="1" x14ac:dyDescent="0.3">
      <c r="D1808" s="23"/>
      <c r="AH1808" s="34"/>
      <c r="AI1808" s="34"/>
    </row>
    <row r="1809" spans="4:35" s="2" customFormat="1" ht="27" customHeight="1" x14ac:dyDescent="0.3">
      <c r="D1809" s="23"/>
      <c r="AH1809" s="34"/>
      <c r="AI1809" s="34"/>
    </row>
    <row r="1810" spans="4:35" s="2" customFormat="1" ht="27" customHeight="1" x14ac:dyDescent="0.3">
      <c r="D1810" s="23"/>
      <c r="AH1810" s="34"/>
      <c r="AI1810" s="34"/>
    </row>
    <row r="1811" spans="4:35" s="2" customFormat="1" ht="27" customHeight="1" x14ac:dyDescent="0.3">
      <c r="D1811" s="23"/>
      <c r="AH1811" s="34"/>
      <c r="AI1811" s="34"/>
    </row>
    <row r="1812" spans="4:35" s="2" customFormat="1" ht="27" customHeight="1" x14ac:dyDescent="0.3">
      <c r="D1812" s="23"/>
      <c r="AH1812" s="34"/>
      <c r="AI1812" s="34"/>
    </row>
    <row r="1813" spans="4:35" s="2" customFormat="1" ht="27" customHeight="1" x14ac:dyDescent="0.3">
      <c r="D1813" s="23"/>
      <c r="AH1813" s="34"/>
      <c r="AI1813" s="34"/>
    </row>
    <row r="1814" spans="4:35" s="2" customFormat="1" ht="27" customHeight="1" x14ac:dyDescent="0.3">
      <c r="D1814" s="23"/>
      <c r="AH1814" s="34"/>
      <c r="AI1814" s="34"/>
    </row>
    <row r="1815" spans="4:35" s="2" customFormat="1" ht="27" customHeight="1" x14ac:dyDescent="0.3">
      <c r="D1815" s="23"/>
      <c r="AH1815" s="34"/>
      <c r="AI1815" s="34"/>
    </row>
    <row r="1816" spans="4:35" s="2" customFormat="1" ht="27" customHeight="1" x14ac:dyDescent="0.3">
      <c r="D1816" s="23"/>
      <c r="AH1816" s="34"/>
      <c r="AI1816" s="34"/>
    </row>
    <row r="1817" spans="4:35" s="2" customFormat="1" ht="27" customHeight="1" x14ac:dyDescent="0.3">
      <c r="D1817" s="23"/>
      <c r="AH1817" s="34"/>
      <c r="AI1817" s="34"/>
    </row>
    <row r="1818" spans="4:35" s="2" customFormat="1" ht="27" customHeight="1" x14ac:dyDescent="0.3">
      <c r="D1818" s="23"/>
      <c r="AH1818" s="34"/>
      <c r="AI1818" s="34"/>
    </row>
    <row r="1819" spans="4:35" s="2" customFormat="1" ht="27" customHeight="1" x14ac:dyDescent="0.3">
      <c r="D1819" s="23"/>
      <c r="AH1819" s="34"/>
      <c r="AI1819" s="34"/>
    </row>
    <row r="1820" spans="4:35" s="2" customFormat="1" ht="27" customHeight="1" x14ac:dyDescent="0.3">
      <c r="D1820" s="23"/>
      <c r="AH1820" s="34"/>
      <c r="AI1820" s="34"/>
    </row>
    <row r="1821" spans="4:35" s="2" customFormat="1" ht="27" customHeight="1" x14ac:dyDescent="0.3">
      <c r="D1821" s="23"/>
      <c r="AH1821" s="34"/>
      <c r="AI1821" s="34"/>
    </row>
    <row r="1822" spans="4:35" s="2" customFormat="1" ht="27" customHeight="1" x14ac:dyDescent="0.3">
      <c r="D1822" s="23"/>
      <c r="AH1822" s="34"/>
      <c r="AI1822" s="34"/>
    </row>
    <row r="1823" spans="4:35" s="2" customFormat="1" ht="27" customHeight="1" x14ac:dyDescent="0.3">
      <c r="D1823" s="23"/>
      <c r="AH1823" s="34"/>
      <c r="AI1823" s="34"/>
    </row>
    <row r="1824" spans="4:35" s="2" customFormat="1" ht="27" customHeight="1" x14ac:dyDescent="0.3">
      <c r="D1824" s="23"/>
      <c r="AH1824" s="34"/>
      <c r="AI1824" s="34"/>
    </row>
    <row r="1825" spans="4:35" s="2" customFormat="1" ht="27" customHeight="1" x14ac:dyDescent="0.3">
      <c r="D1825" s="23"/>
      <c r="AH1825" s="34"/>
      <c r="AI1825" s="34"/>
    </row>
    <row r="1826" spans="4:35" s="2" customFormat="1" ht="27" customHeight="1" x14ac:dyDescent="0.3">
      <c r="D1826" s="23"/>
      <c r="AH1826" s="34"/>
      <c r="AI1826" s="34"/>
    </row>
    <row r="1827" spans="4:35" s="2" customFormat="1" ht="27" customHeight="1" x14ac:dyDescent="0.3">
      <c r="D1827" s="23"/>
      <c r="AH1827" s="34"/>
      <c r="AI1827" s="34"/>
    </row>
    <row r="1828" spans="4:35" s="2" customFormat="1" ht="27" customHeight="1" x14ac:dyDescent="0.3">
      <c r="D1828" s="23"/>
      <c r="AH1828" s="34"/>
      <c r="AI1828" s="34"/>
    </row>
    <row r="1829" spans="4:35" s="2" customFormat="1" ht="27" customHeight="1" x14ac:dyDescent="0.3">
      <c r="D1829" s="23"/>
      <c r="AH1829" s="34"/>
      <c r="AI1829" s="34"/>
    </row>
    <row r="1830" spans="4:35" s="2" customFormat="1" ht="27" customHeight="1" x14ac:dyDescent="0.3">
      <c r="D1830" s="23"/>
      <c r="AH1830" s="34"/>
      <c r="AI1830" s="34"/>
    </row>
    <row r="1831" spans="4:35" s="2" customFormat="1" ht="27" customHeight="1" x14ac:dyDescent="0.3">
      <c r="D1831" s="23"/>
      <c r="AH1831" s="34"/>
      <c r="AI1831" s="34"/>
    </row>
    <row r="1832" spans="4:35" s="2" customFormat="1" ht="27" customHeight="1" x14ac:dyDescent="0.3">
      <c r="D1832" s="23"/>
      <c r="AH1832" s="34"/>
      <c r="AI1832" s="34"/>
    </row>
    <row r="1833" spans="4:35" s="2" customFormat="1" ht="27" customHeight="1" x14ac:dyDescent="0.3">
      <c r="D1833" s="23"/>
      <c r="AH1833" s="34"/>
      <c r="AI1833" s="34"/>
    </row>
    <row r="1834" spans="4:35" s="2" customFormat="1" ht="27" customHeight="1" x14ac:dyDescent="0.3">
      <c r="D1834" s="23"/>
      <c r="AH1834" s="34"/>
      <c r="AI1834" s="34"/>
    </row>
    <row r="1835" spans="4:35" s="2" customFormat="1" ht="27" customHeight="1" x14ac:dyDescent="0.3">
      <c r="D1835" s="23"/>
      <c r="AH1835" s="34"/>
      <c r="AI1835" s="34"/>
    </row>
    <row r="1836" spans="4:35" s="2" customFormat="1" ht="27" customHeight="1" x14ac:dyDescent="0.3">
      <c r="D1836" s="23"/>
      <c r="AH1836" s="34"/>
      <c r="AI1836" s="34"/>
    </row>
    <row r="1837" spans="4:35" s="2" customFormat="1" ht="27" customHeight="1" x14ac:dyDescent="0.3">
      <c r="D1837" s="23"/>
      <c r="AH1837" s="34"/>
      <c r="AI1837" s="34"/>
    </row>
    <row r="1838" spans="4:35" s="2" customFormat="1" ht="27" customHeight="1" x14ac:dyDescent="0.3">
      <c r="D1838" s="23"/>
      <c r="AH1838" s="34"/>
      <c r="AI1838" s="34"/>
    </row>
    <row r="1839" spans="4:35" s="2" customFormat="1" ht="27" customHeight="1" x14ac:dyDescent="0.3">
      <c r="D1839" s="23"/>
      <c r="AH1839" s="34"/>
      <c r="AI1839" s="34"/>
    </row>
    <row r="1840" spans="4:35" s="2" customFormat="1" ht="27" customHeight="1" x14ac:dyDescent="0.3">
      <c r="D1840" s="23"/>
      <c r="AH1840" s="34"/>
      <c r="AI1840" s="34"/>
    </row>
    <row r="1841" spans="4:35" s="2" customFormat="1" ht="27" customHeight="1" x14ac:dyDescent="0.3">
      <c r="D1841" s="23"/>
      <c r="AH1841" s="34"/>
      <c r="AI1841" s="34"/>
    </row>
    <row r="1842" spans="4:35" s="2" customFormat="1" ht="27" customHeight="1" x14ac:dyDescent="0.3">
      <c r="D1842" s="23"/>
      <c r="AH1842" s="34"/>
      <c r="AI1842" s="34"/>
    </row>
    <row r="1843" spans="4:35" s="2" customFormat="1" ht="27" customHeight="1" x14ac:dyDescent="0.3">
      <c r="D1843" s="23"/>
      <c r="AH1843" s="34"/>
      <c r="AI1843" s="34"/>
    </row>
    <row r="1844" spans="4:35" s="2" customFormat="1" ht="27" customHeight="1" x14ac:dyDescent="0.3">
      <c r="D1844" s="23"/>
      <c r="AH1844" s="34"/>
      <c r="AI1844" s="34"/>
    </row>
    <row r="1845" spans="4:35" s="2" customFormat="1" ht="27" customHeight="1" x14ac:dyDescent="0.3">
      <c r="D1845" s="23"/>
      <c r="AH1845" s="34"/>
      <c r="AI1845" s="34"/>
    </row>
    <row r="1846" spans="4:35" s="2" customFormat="1" ht="27" customHeight="1" x14ac:dyDescent="0.3">
      <c r="D1846" s="23"/>
      <c r="AH1846" s="34"/>
      <c r="AI1846" s="34"/>
    </row>
    <row r="1847" spans="4:35" s="2" customFormat="1" ht="27" customHeight="1" x14ac:dyDescent="0.3">
      <c r="D1847" s="23"/>
      <c r="AH1847" s="34"/>
      <c r="AI1847" s="34"/>
    </row>
    <row r="1848" spans="4:35" s="2" customFormat="1" ht="27" customHeight="1" x14ac:dyDescent="0.3">
      <c r="D1848" s="23"/>
      <c r="AH1848" s="34"/>
      <c r="AI1848" s="34"/>
    </row>
    <row r="1849" spans="4:35" s="2" customFormat="1" ht="27" customHeight="1" x14ac:dyDescent="0.3">
      <c r="D1849" s="23"/>
      <c r="AH1849" s="34"/>
      <c r="AI1849" s="34"/>
    </row>
    <row r="1850" spans="4:35" s="2" customFormat="1" ht="27" customHeight="1" x14ac:dyDescent="0.3">
      <c r="D1850" s="23"/>
      <c r="AH1850" s="34"/>
      <c r="AI1850" s="34"/>
    </row>
    <row r="1851" spans="4:35" s="2" customFormat="1" ht="27" customHeight="1" x14ac:dyDescent="0.3">
      <c r="D1851" s="23"/>
      <c r="AH1851" s="34"/>
      <c r="AI1851" s="34"/>
    </row>
    <row r="1852" spans="4:35" s="2" customFormat="1" ht="27" customHeight="1" x14ac:dyDescent="0.3">
      <c r="D1852" s="23"/>
      <c r="AH1852" s="34"/>
      <c r="AI1852" s="34"/>
    </row>
    <row r="1853" spans="4:35" s="2" customFormat="1" ht="27" customHeight="1" x14ac:dyDescent="0.3">
      <c r="D1853" s="23"/>
      <c r="AH1853" s="34"/>
      <c r="AI1853" s="34"/>
    </row>
    <row r="1854" spans="4:35" s="2" customFormat="1" ht="27" customHeight="1" x14ac:dyDescent="0.3">
      <c r="D1854" s="23"/>
      <c r="AH1854" s="34"/>
      <c r="AI1854" s="34"/>
    </row>
    <row r="1855" spans="4:35" s="2" customFormat="1" ht="27" customHeight="1" x14ac:dyDescent="0.3">
      <c r="D1855" s="23"/>
      <c r="AH1855" s="34"/>
      <c r="AI1855" s="34"/>
    </row>
    <row r="1856" spans="4:35" s="2" customFormat="1" ht="27" customHeight="1" x14ac:dyDescent="0.3">
      <c r="D1856" s="23"/>
      <c r="AH1856" s="34"/>
      <c r="AI1856" s="34"/>
    </row>
    <row r="1857" spans="4:35" s="2" customFormat="1" ht="27" customHeight="1" x14ac:dyDescent="0.3">
      <c r="D1857" s="23"/>
      <c r="AH1857" s="34"/>
      <c r="AI1857" s="34"/>
    </row>
    <row r="1858" spans="4:35" s="2" customFormat="1" ht="27" customHeight="1" x14ac:dyDescent="0.3">
      <c r="D1858" s="23"/>
      <c r="AH1858" s="34"/>
      <c r="AI1858" s="34"/>
    </row>
    <row r="1859" spans="4:35" s="2" customFormat="1" ht="27" customHeight="1" x14ac:dyDescent="0.3">
      <c r="D1859" s="23"/>
      <c r="AH1859" s="34"/>
      <c r="AI1859" s="34"/>
    </row>
    <row r="1860" spans="4:35" s="2" customFormat="1" ht="27" customHeight="1" x14ac:dyDescent="0.3">
      <c r="D1860" s="23"/>
      <c r="AH1860" s="34"/>
      <c r="AI1860" s="34"/>
    </row>
    <row r="1861" spans="4:35" s="2" customFormat="1" ht="27" customHeight="1" x14ac:dyDescent="0.3">
      <c r="D1861" s="23"/>
      <c r="AH1861" s="34"/>
      <c r="AI1861" s="34"/>
    </row>
    <row r="1862" spans="4:35" s="2" customFormat="1" ht="27" customHeight="1" x14ac:dyDescent="0.3">
      <c r="D1862" s="23"/>
      <c r="AH1862" s="34"/>
      <c r="AI1862" s="34"/>
    </row>
    <row r="1863" spans="4:35" s="2" customFormat="1" ht="27" customHeight="1" x14ac:dyDescent="0.3">
      <c r="D1863" s="23"/>
      <c r="AH1863" s="34"/>
      <c r="AI1863" s="34"/>
    </row>
    <row r="1864" spans="4:35" s="2" customFormat="1" ht="27" customHeight="1" x14ac:dyDescent="0.3">
      <c r="D1864" s="23"/>
      <c r="AH1864" s="34"/>
      <c r="AI1864" s="34"/>
    </row>
    <row r="1865" spans="4:35" s="2" customFormat="1" ht="27" customHeight="1" x14ac:dyDescent="0.3">
      <c r="D1865" s="23"/>
      <c r="AH1865" s="34"/>
      <c r="AI1865" s="34"/>
    </row>
    <row r="1866" spans="4:35" s="2" customFormat="1" ht="27" customHeight="1" x14ac:dyDescent="0.3">
      <c r="D1866" s="23"/>
      <c r="AH1866" s="34"/>
      <c r="AI1866" s="34"/>
    </row>
    <row r="1867" spans="4:35" s="2" customFormat="1" ht="27" customHeight="1" x14ac:dyDescent="0.3">
      <c r="D1867" s="23"/>
      <c r="AH1867" s="34"/>
      <c r="AI1867" s="34"/>
    </row>
    <row r="1868" spans="4:35" s="2" customFormat="1" ht="27" customHeight="1" x14ac:dyDescent="0.3">
      <c r="D1868" s="23"/>
      <c r="AH1868" s="34"/>
      <c r="AI1868" s="34"/>
    </row>
    <row r="1869" spans="4:35" s="2" customFormat="1" ht="27" customHeight="1" x14ac:dyDescent="0.3">
      <c r="D1869" s="23"/>
      <c r="AH1869" s="34"/>
      <c r="AI1869" s="34"/>
    </row>
    <row r="1870" spans="4:35" s="2" customFormat="1" ht="27" customHeight="1" x14ac:dyDescent="0.3">
      <c r="D1870" s="23"/>
      <c r="AH1870" s="34"/>
      <c r="AI1870" s="34"/>
    </row>
    <row r="1871" spans="4:35" s="2" customFormat="1" ht="27" customHeight="1" x14ac:dyDescent="0.3">
      <c r="D1871" s="23"/>
      <c r="AH1871" s="34"/>
      <c r="AI1871" s="34"/>
    </row>
    <row r="1872" spans="4:35" s="2" customFormat="1" ht="27" customHeight="1" x14ac:dyDescent="0.3">
      <c r="D1872" s="23"/>
      <c r="AH1872" s="34"/>
      <c r="AI1872" s="34"/>
    </row>
    <row r="1873" spans="4:35" s="2" customFormat="1" ht="27" customHeight="1" x14ac:dyDescent="0.3">
      <c r="D1873" s="23"/>
      <c r="AH1873" s="34"/>
      <c r="AI1873" s="34"/>
    </row>
    <row r="1874" spans="4:35" s="2" customFormat="1" ht="27" customHeight="1" x14ac:dyDescent="0.3">
      <c r="D1874" s="23"/>
      <c r="AH1874" s="34"/>
      <c r="AI1874" s="34"/>
    </row>
    <row r="1875" spans="4:35" s="2" customFormat="1" ht="27" customHeight="1" x14ac:dyDescent="0.3">
      <c r="D1875" s="23"/>
      <c r="AH1875" s="34"/>
      <c r="AI1875" s="34"/>
    </row>
    <row r="1876" spans="4:35" s="2" customFormat="1" ht="27" customHeight="1" x14ac:dyDescent="0.3">
      <c r="D1876" s="23"/>
      <c r="AH1876" s="34"/>
      <c r="AI1876" s="34"/>
    </row>
    <row r="1877" spans="4:35" s="2" customFormat="1" ht="27" customHeight="1" x14ac:dyDescent="0.3">
      <c r="D1877" s="23"/>
      <c r="AH1877" s="34"/>
      <c r="AI1877" s="34"/>
    </row>
    <row r="1878" spans="4:35" s="2" customFormat="1" ht="27" customHeight="1" x14ac:dyDescent="0.3">
      <c r="D1878" s="23"/>
      <c r="AH1878" s="34"/>
      <c r="AI1878" s="34"/>
    </row>
    <row r="1879" spans="4:35" s="2" customFormat="1" ht="27" customHeight="1" x14ac:dyDescent="0.3">
      <c r="D1879" s="23"/>
      <c r="AH1879" s="34"/>
      <c r="AI1879" s="34"/>
    </row>
    <row r="1880" spans="4:35" s="2" customFormat="1" ht="27" customHeight="1" x14ac:dyDescent="0.3">
      <c r="D1880" s="23"/>
      <c r="AH1880" s="34"/>
      <c r="AI1880" s="34"/>
    </row>
    <row r="1881" spans="4:35" s="2" customFormat="1" ht="27" customHeight="1" x14ac:dyDescent="0.3">
      <c r="D1881" s="23"/>
      <c r="AH1881" s="34"/>
      <c r="AI1881" s="34"/>
    </row>
    <row r="1882" spans="4:35" s="2" customFormat="1" ht="27" customHeight="1" x14ac:dyDescent="0.3">
      <c r="D1882" s="23"/>
      <c r="AH1882" s="34"/>
      <c r="AI1882" s="34"/>
    </row>
    <row r="1883" spans="4:35" s="2" customFormat="1" ht="27" customHeight="1" x14ac:dyDescent="0.3">
      <c r="D1883" s="23"/>
      <c r="AH1883" s="34"/>
      <c r="AI1883" s="34"/>
    </row>
    <row r="1884" spans="4:35" s="2" customFormat="1" ht="27" customHeight="1" x14ac:dyDescent="0.3">
      <c r="D1884" s="23"/>
      <c r="AH1884" s="34"/>
      <c r="AI1884" s="34"/>
    </row>
    <row r="1885" spans="4:35" s="2" customFormat="1" ht="27" customHeight="1" x14ac:dyDescent="0.3">
      <c r="D1885" s="23"/>
      <c r="AH1885" s="34"/>
      <c r="AI1885" s="34"/>
    </row>
    <row r="1886" spans="4:35" s="2" customFormat="1" ht="27" customHeight="1" x14ac:dyDescent="0.3">
      <c r="D1886" s="23"/>
      <c r="AH1886" s="34"/>
      <c r="AI1886" s="34"/>
    </row>
    <row r="1887" spans="4:35" s="2" customFormat="1" ht="27" customHeight="1" x14ac:dyDescent="0.3">
      <c r="D1887" s="23"/>
      <c r="AH1887" s="34"/>
      <c r="AI1887" s="34"/>
    </row>
    <row r="1888" spans="4:35" s="2" customFormat="1" ht="27" customHeight="1" x14ac:dyDescent="0.3">
      <c r="D1888" s="23"/>
      <c r="AH1888" s="34"/>
      <c r="AI1888" s="34"/>
    </row>
    <row r="1889" spans="4:35" s="2" customFormat="1" ht="27" customHeight="1" x14ac:dyDescent="0.3">
      <c r="D1889" s="23"/>
      <c r="AH1889" s="34"/>
      <c r="AI1889" s="34"/>
    </row>
    <row r="1890" spans="4:35" s="2" customFormat="1" ht="27" customHeight="1" x14ac:dyDescent="0.3">
      <c r="D1890" s="23"/>
      <c r="AH1890" s="34"/>
      <c r="AI1890" s="34"/>
    </row>
    <row r="1891" spans="4:35" s="2" customFormat="1" ht="27" customHeight="1" x14ac:dyDescent="0.3">
      <c r="D1891" s="23"/>
      <c r="AH1891" s="34"/>
      <c r="AI1891" s="34"/>
    </row>
    <row r="1892" spans="4:35" s="2" customFormat="1" ht="27" customHeight="1" x14ac:dyDescent="0.3">
      <c r="D1892" s="23"/>
      <c r="AH1892" s="34"/>
      <c r="AI1892" s="34"/>
    </row>
    <row r="1893" spans="4:35" s="2" customFormat="1" ht="27" customHeight="1" x14ac:dyDescent="0.3">
      <c r="D1893" s="23"/>
      <c r="AH1893" s="34"/>
      <c r="AI1893" s="34"/>
    </row>
    <row r="1894" spans="4:35" s="2" customFormat="1" ht="27" customHeight="1" x14ac:dyDescent="0.3">
      <c r="D1894" s="23"/>
      <c r="AH1894" s="34"/>
      <c r="AI1894" s="34"/>
    </row>
    <row r="1895" spans="4:35" s="2" customFormat="1" ht="27" customHeight="1" x14ac:dyDescent="0.3">
      <c r="D1895" s="23"/>
      <c r="AH1895" s="34"/>
      <c r="AI1895" s="34"/>
    </row>
    <row r="1896" spans="4:35" s="2" customFormat="1" ht="27" customHeight="1" x14ac:dyDescent="0.3">
      <c r="D1896" s="23"/>
      <c r="AH1896" s="34"/>
      <c r="AI1896" s="34"/>
    </row>
    <row r="1897" spans="4:35" s="2" customFormat="1" ht="27" customHeight="1" x14ac:dyDescent="0.3">
      <c r="D1897" s="23"/>
      <c r="AH1897" s="34"/>
      <c r="AI1897" s="34"/>
    </row>
    <row r="1898" spans="4:35" s="2" customFormat="1" ht="27" customHeight="1" x14ac:dyDescent="0.3">
      <c r="D1898" s="23"/>
      <c r="AH1898" s="34"/>
      <c r="AI1898" s="34"/>
    </row>
    <row r="1899" spans="4:35" s="2" customFormat="1" ht="27" customHeight="1" x14ac:dyDescent="0.3">
      <c r="D1899" s="23"/>
      <c r="AH1899" s="34"/>
      <c r="AI1899" s="34"/>
    </row>
    <row r="1900" spans="4:35" s="2" customFormat="1" ht="27" customHeight="1" x14ac:dyDescent="0.3">
      <c r="D1900" s="23"/>
      <c r="AH1900" s="34"/>
      <c r="AI1900" s="34"/>
    </row>
    <row r="1901" spans="4:35" s="2" customFormat="1" ht="27" customHeight="1" x14ac:dyDescent="0.3">
      <c r="D1901" s="23"/>
      <c r="AH1901" s="34"/>
      <c r="AI1901" s="34"/>
    </row>
    <row r="1902" spans="4:35" s="2" customFormat="1" ht="27" customHeight="1" x14ac:dyDescent="0.3">
      <c r="D1902" s="23"/>
      <c r="AH1902" s="34"/>
      <c r="AI1902" s="34"/>
    </row>
    <row r="1903" spans="4:35" s="2" customFormat="1" ht="27" customHeight="1" x14ac:dyDescent="0.3">
      <c r="D1903" s="23"/>
      <c r="AH1903" s="34"/>
      <c r="AI1903" s="34"/>
    </row>
    <row r="1904" spans="4:35" s="2" customFormat="1" ht="27" customHeight="1" x14ac:dyDescent="0.3">
      <c r="D1904" s="23"/>
      <c r="AH1904" s="34"/>
      <c r="AI1904" s="34"/>
    </row>
    <row r="1905" spans="4:35" s="2" customFormat="1" ht="27" customHeight="1" x14ac:dyDescent="0.3">
      <c r="D1905" s="23"/>
      <c r="AH1905" s="34"/>
      <c r="AI1905" s="34"/>
    </row>
    <row r="1906" spans="4:35" s="2" customFormat="1" ht="27" customHeight="1" x14ac:dyDescent="0.3">
      <c r="D1906" s="23"/>
      <c r="AH1906" s="34"/>
      <c r="AI1906" s="34"/>
    </row>
    <row r="1907" spans="4:35" s="2" customFormat="1" ht="27" customHeight="1" x14ac:dyDescent="0.3">
      <c r="D1907" s="23"/>
      <c r="AH1907" s="34"/>
      <c r="AI1907" s="34"/>
    </row>
    <row r="1908" spans="4:35" s="2" customFormat="1" ht="27" customHeight="1" x14ac:dyDescent="0.3">
      <c r="D1908" s="23"/>
      <c r="AH1908" s="34"/>
      <c r="AI1908" s="34"/>
    </row>
    <row r="1909" spans="4:35" s="2" customFormat="1" ht="27" customHeight="1" x14ac:dyDescent="0.3">
      <c r="D1909" s="23"/>
      <c r="AH1909" s="34"/>
      <c r="AI1909" s="34"/>
    </row>
    <row r="1910" spans="4:35" s="2" customFormat="1" ht="27" customHeight="1" x14ac:dyDescent="0.3">
      <c r="D1910" s="23"/>
      <c r="AH1910" s="34"/>
      <c r="AI1910" s="34"/>
    </row>
    <row r="1911" spans="4:35" s="2" customFormat="1" ht="27" customHeight="1" x14ac:dyDescent="0.3">
      <c r="D1911" s="23"/>
      <c r="AH1911" s="34"/>
      <c r="AI1911" s="34"/>
    </row>
    <row r="1912" spans="4:35" s="2" customFormat="1" ht="27" customHeight="1" x14ac:dyDescent="0.3">
      <c r="D1912" s="23"/>
      <c r="AH1912" s="34"/>
      <c r="AI1912" s="34"/>
    </row>
    <row r="1913" spans="4:35" s="2" customFormat="1" ht="27" customHeight="1" x14ac:dyDescent="0.3">
      <c r="D1913" s="23"/>
      <c r="AH1913" s="34"/>
      <c r="AI1913" s="34"/>
    </row>
    <row r="1914" spans="4:35" s="2" customFormat="1" ht="27" customHeight="1" x14ac:dyDescent="0.3">
      <c r="D1914" s="23"/>
      <c r="AH1914" s="34"/>
      <c r="AI1914" s="34"/>
    </row>
    <row r="1915" spans="4:35" s="2" customFormat="1" ht="27" customHeight="1" x14ac:dyDescent="0.3">
      <c r="D1915" s="23"/>
      <c r="AH1915" s="34"/>
      <c r="AI1915" s="34"/>
    </row>
    <row r="1916" spans="4:35" s="2" customFormat="1" ht="27" customHeight="1" x14ac:dyDescent="0.3">
      <c r="D1916" s="23"/>
      <c r="AH1916" s="34"/>
      <c r="AI1916" s="34"/>
    </row>
    <row r="1917" spans="4:35" s="2" customFormat="1" ht="27" customHeight="1" x14ac:dyDescent="0.3">
      <c r="D1917" s="23"/>
      <c r="AH1917" s="34"/>
      <c r="AI1917" s="34"/>
    </row>
    <row r="1918" spans="4:35" s="2" customFormat="1" ht="27" customHeight="1" x14ac:dyDescent="0.3">
      <c r="D1918" s="23"/>
      <c r="AH1918" s="34"/>
      <c r="AI1918" s="34"/>
    </row>
    <row r="1919" spans="4:35" s="2" customFormat="1" ht="27" customHeight="1" x14ac:dyDescent="0.3">
      <c r="D1919" s="23"/>
      <c r="AH1919" s="34"/>
      <c r="AI1919" s="34"/>
    </row>
    <row r="1920" spans="4:35" s="2" customFormat="1" ht="27" customHeight="1" x14ac:dyDescent="0.3">
      <c r="D1920" s="23"/>
      <c r="AH1920" s="34"/>
      <c r="AI1920" s="34"/>
    </row>
    <row r="1921" spans="4:35" s="2" customFormat="1" ht="27" customHeight="1" x14ac:dyDescent="0.3">
      <c r="D1921" s="23"/>
      <c r="AH1921" s="34"/>
      <c r="AI1921" s="34"/>
    </row>
    <row r="1922" spans="4:35" s="2" customFormat="1" ht="27" customHeight="1" x14ac:dyDescent="0.3">
      <c r="D1922" s="23"/>
      <c r="AH1922" s="34"/>
      <c r="AI1922" s="34"/>
    </row>
    <row r="1923" spans="4:35" s="2" customFormat="1" ht="27" customHeight="1" x14ac:dyDescent="0.3">
      <c r="D1923" s="23"/>
      <c r="AH1923" s="34"/>
      <c r="AI1923" s="34"/>
    </row>
    <row r="1924" spans="4:35" s="2" customFormat="1" ht="27" customHeight="1" x14ac:dyDescent="0.3">
      <c r="D1924" s="23"/>
      <c r="AH1924" s="34"/>
      <c r="AI1924" s="34"/>
    </row>
    <row r="1925" spans="4:35" s="2" customFormat="1" ht="27" customHeight="1" x14ac:dyDescent="0.3">
      <c r="D1925" s="23"/>
      <c r="AH1925" s="34"/>
      <c r="AI1925" s="34"/>
    </row>
    <row r="1926" spans="4:35" s="2" customFormat="1" ht="27" customHeight="1" x14ac:dyDescent="0.3">
      <c r="D1926" s="23"/>
      <c r="AH1926" s="34"/>
      <c r="AI1926" s="34"/>
    </row>
    <row r="1927" spans="4:35" s="2" customFormat="1" ht="27" customHeight="1" x14ac:dyDescent="0.3">
      <c r="D1927" s="23"/>
      <c r="AH1927" s="34"/>
      <c r="AI1927" s="34"/>
    </row>
    <row r="1928" spans="4:35" s="2" customFormat="1" ht="27" customHeight="1" x14ac:dyDescent="0.3">
      <c r="D1928" s="23"/>
      <c r="AH1928" s="34"/>
      <c r="AI1928" s="34"/>
    </row>
    <row r="1929" spans="4:35" s="2" customFormat="1" ht="27" customHeight="1" x14ac:dyDescent="0.3">
      <c r="D1929" s="23"/>
      <c r="AH1929" s="34"/>
      <c r="AI1929" s="34"/>
    </row>
    <row r="1930" spans="4:35" s="2" customFormat="1" ht="27" customHeight="1" x14ac:dyDescent="0.3">
      <c r="D1930" s="23"/>
      <c r="AH1930" s="34"/>
      <c r="AI1930" s="34"/>
    </row>
    <row r="1931" spans="4:35" s="2" customFormat="1" ht="27" customHeight="1" x14ac:dyDescent="0.3">
      <c r="D1931" s="23"/>
      <c r="AH1931" s="34"/>
      <c r="AI1931" s="34"/>
    </row>
    <row r="1932" spans="4:35" s="2" customFormat="1" ht="27" customHeight="1" x14ac:dyDescent="0.3">
      <c r="D1932" s="23"/>
      <c r="AH1932" s="34"/>
      <c r="AI1932" s="34"/>
    </row>
    <row r="1933" spans="4:35" s="2" customFormat="1" ht="27" customHeight="1" x14ac:dyDescent="0.3">
      <c r="D1933" s="23"/>
      <c r="AH1933" s="34"/>
      <c r="AI1933" s="34"/>
    </row>
    <row r="1934" spans="4:35" s="2" customFormat="1" ht="27" customHeight="1" x14ac:dyDescent="0.3">
      <c r="D1934" s="23"/>
      <c r="AH1934" s="34"/>
      <c r="AI1934" s="34"/>
    </row>
    <row r="1935" spans="4:35" s="2" customFormat="1" ht="27" customHeight="1" x14ac:dyDescent="0.3">
      <c r="D1935" s="23"/>
      <c r="AH1935" s="34"/>
      <c r="AI1935" s="34"/>
    </row>
    <row r="1936" spans="4:35" s="2" customFormat="1" ht="27" customHeight="1" x14ac:dyDescent="0.3">
      <c r="D1936" s="23"/>
      <c r="AH1936" s="34"/>
      <c r="AI1936" s="34"/>
    </row>
    <row r="1937" spans="4:35" s="2" customFormat="1" ht="27" customHeight="1" x14ac:dyDescent="0.3">
      <c r="D1937" s="23"/>
      <c r="AH1937" s="34"/>
      <c r="AI1937" s="34"/>
    </row>
    <row r="1938" spans="4:35" s="2" customFormat="1" ht="27" customHeight="1" x14ac:dyDescent="0.3">
      <c r="D1938" s="23"/>
      <c r="AH1938" s="34"/>
      <c r="AI1938" s="34"/>
    </row>
    <row r="1939" spans="4:35" s="2" customFormat="1" ht="27" customHeight="1" x14ac:dyDescent="0.3">
      <c r="D1939" s="23"/>
      <c r="AH1939" s="34"/>
      <c r="AI1939" s="34"/>
    </row>
    <row r="1940" spans="4:35" s="2" customFormat="1" ht="27" customHeight="1" x14ac:dyDescent="0.3">
      <c r="D1940" s="23"/>
      <c r="AH1940" s="34"/>
      <c r="AI1940" s="34"/>
    </row>
    <row r="1941" spans="4:35" s="2" customFormat="1" ht="27" customHeight="1" x14ac:dyDescent="0.3">
      <c r="D1941" s="23"/>
      <c r="AH1941" s="34"/>
      <c r="AI1941" s="34"/>
    </row>
    <row r="1942" spans="4:35" s="2" customFormat="1" ht="27" customHeight="1" x14ac:dyDescent="0.3">
      <c r="D1942" s="23"/>
      <c r="AH1942" s="34"/>
      <c r="AI1942" s="34"/>
    </row>
    <row r="1943" spans="4:35" s="2" customFormat="1" ht="27" customHeight="1" x14ac:dyDescent="0.3">
      <c r="D1943" s="23"/>
      <c r="AH1943" s="34"/>
      <c r="AI1943" s="34"/>
    </row>
    <row r="1944" spans="4:35" s="2" customFormat="1" ht="27" customHeight="1" x14ac:dyDescent="0.3">
      <c r="D1944" s="23"/>
      <c r="AH1944" s="34"/>
      <c r="AI1944" s="34"/>
    </row>
    <row r="1945" spans="4:35" s="2" customFormat="1" ht="27" customHeight="1" x14ac:dyDescent="0.3">
      <c r="D1945" s="23"/>
      <c r="AH1945" s="34"/>
      <c r="AI1945" s="34"/>
    </row>
    <row r="1946" spans="4:35" s="2" customFormat="1" ht="27" customHeight="1" x14ac:dyDescent="0.3">
      <c r="D1946" s="23"/>
      <c r="AH1946" s="34"/>
      <c r="AI1946" s="34"/>
    </row>
    <row r="1947" spans="4:35" s="2" customFormat="1" ht="27" customHeight="1" x14ac:dyDescent="0.3">
      <c r="D1947" s="23"/>
      <c r="AH1947" s="34"/>
      <c r="AI1947" s="34"/>
    </row>
    <row r="1948" spans="4:35" s="2" customFormat="1" ht="27" customHeight="1" x14ac:dyDescent="0.3">
      <c r="D1948" s="23"/>
      <c r="AH1948" s="34"/>
      <c r="AI1948" s="34"/>
    </row>
    <row r="1949" spans="4:35" s="2" customFormat="1" ht="27" customHeight="1" x14ac:dyDescent="0.3">
      <c r="D1949" s="23"/>
      <c r="AH1949" s="34"/>
      <c r="AI1949" s="34"/>
    </row>
    <row r="1950" spans="4:35" s="2" customFormat="1" ht="27" customHeight="1" x14ac:dyDescent="0.3">
      <c r="D1950" s="23"/>
      <c r="AH1950" s="34"/>
      <c r="AI1950" s="34"/>
    </row>
    <row r="1951" spans="4:35" s="2" customFormat="1" ht="27" customHeight="1" x14ac:dyDescent="0.3">
      <c r="D1951" s="23"/>
      <c r="AH1951" s="34"/>
      <c r="AI1951" s="34"/>
    </row>
    <row r="1952" spans="4:35" s="2" customFormat="1" ht="27" customHeight="1" x14ac:dyDescent="0.3">
      <c r="D1952" s="23"/>
      <c r="AH1952" s="34"/>
      <c r="AI1952" s="34"/>
    </row>
    <row r="1953" spans="4:35" s="2" customFormat="1" ht="27" customHeight="1" x14ac:dyDescent="0.3">
      <c r="D1953" s="23"/>
      <c r="AH1953" s="34"/>
      <c r="AI1953" s="34"/>
    </row>
    <row r="1954" spans="4:35" s="2" customFormat="1" ht="27" customHeight="1" x14ac:dyDescent="0.3">
      <c r="D1954" s="23"/>
      <c r="AH1954" s="34"/>
      <c r="AI1954" s="34"/>
    </row>
    <row r="1955" spans="4:35" s="2" customFormat="1" ht="27" customHeight="1" x14ac:dyDescent="0.3">
      <c r="D1955" s="23"/>
      <c r="AH1955" s="34"/>
      <c r="AI1955" s="34"/>
    </row>
    <row r="1956" spans="4:35" s="2" customFormat="1" ht="27" customHeight="1" x14ac:dyDescent="0.3">
      <c r="D1956" s="23"/>
      <c r="AH1956" s="34"/>
      <c r="AI1956" s="34"/>
    </row>
    <row r="1957" spans="4:35" s="2" customFormat="1" ht="27" customHeight="1" x14ac:dyDescent="0.3">
      <c r="D1957" s="23"/>
      <c r="AH1957" s="34"/>
      <c r="AI1957" s="34"/>
    </row>
    <row r="1958" spans="4:35" s="2" customFormat="1" ht="27" customHeight="1" x14ac:dyDescent="0.3">
      <c r="D1958" s="23"/>
      <c r="AH1958" s="34"/>
      <c r="AI1958" s="34"/>
    </row>
    <row r="1959" spans="4:35" s="2" customFormat="1" ht="27" customHeight="1" x14ac:dyDescent="0.3">
      <c r="D1959" s="23"/>
      <c r="AH1959" s="34"/>
      <c r="AI1959" s="34"/>
    </row>
    <row r="1960" spans="4:35" s="2" customFormat="1" ht="27" customHeight="1" x14ac:dyDescent="0.3">
      <c r="D1960" s="23"/>
      <c r="AH1960" s="34"/>
      <c r="AI1960" s="34"/>
    </row>
    <row r="1961" spans="4:35" s="2" customFormat="1" ht="27" customHeight="1" x14ac:dyDescent="0.3">
      <c r="D1961" s="23"/>
      <c r="AH1961" s="34"/>
      <c r="AI1961" s="34"/>
    </row>
    <row r="1962" spans="4:35" s="2" customFormat="1" ht="27" customHeight="1" x14ac:dyDescent="0.3">
      <c r="D1962" s="23"/>
      <c r="AH1962" s="34"/>
      <c r="AI1962" s="34"/>
    </row>
    <row r="1963" spans="4:35" s="2" customFormat="1" ht="27" customHeight="1" x14ac:dyDescent="0.3">
      <c r="D1963" s="23"/>
      <c r="AH1963" s="34"/>
      <c r="AI1963" s="34"/>
    </row>
    <row r="1964" spans="4:35" s="2" customFormat="1" ht="27" customHeight="1" x14ac:dyDescent="0.3">
      <c r="D1964" s="23"/>
      <c r="AH1964" s="34"/>
      <c r="AI1964" s="34"/>
    </row>
    <row r="1965" spans="4:35" s="2" customFormat="1" ht="27" customHeight="1" x14ac:dyDescent="0.3">
      <c r="D1965" s="23"/>
      <c r="AH1965" s="34"/>
      <c r="AI1965" s="34"/>
    </row>
    <row r="1966" spans="4:35" s="2" customFormat="1" ht="27" customHeight="1" x14ac:dyDescent="0.3">
      <c r="D1966" s="23"/>
      <c r="AH1966" s="34"/>
      <c r="AI1966" s="34"/>
    </row>
    <row r="1967" spans="4:35" s="2" customFormat="1" ht="27" customHeight="1" x14ac:dyDescent="0.3">
      <c r="D1967" s="23"/>
      <c r="AH1967" s="34"/>
      <c r="AI1967" s="34"/>
    </row>
    <row r="1968" spans="4:35" s="2" customFormat="1" ht="27" customHeight="1" x14ac:dyDescent="0.3">
      <c r="D1968" s="23"/>
      <c r="AH1968" s="34"/>
      <c r="AI1968" s="34"/>
    </row>
    <row r="1969" spans="4:35" s="2" customFormat="1" ht="27" customHeight="1" x14ac:dyDescent="0.3">
      <c r="D1969" s="23"/>
      <c r="AH1969" s="34"/>
      <c r="AI1969" s="34"/>
    </row>
    <row r="1970" spans="4:35" s="2" customFormat="1" ht="27" customHeight="1" x14ac:dyDescent="0.3">
      <c r="D1970" s="23"/>
      <c r="AH1970" s="34"/>
      <c r="AI1970" s="34"/>
    </row>
    <row r="1971" spans="4:35" s="2" customFormat="1" ht="27" customHeight="1" x14ac:dyDescent="0.3">
      <c r="D1971" s="23"/>
      <c r="AH1971" s="34"/>
      <c r="AI1971" s="34"/>
    </row>
    <row r="1972" spans="4:35" s="2" customFormat="1" ht="27" customHeight="1" x14ac:dyDescent="0.3">
      <c r="D1972" s="23"/>
      <c r="AH1972" s="34"/>
      <c r="AI1972" s="34"/>
    </row>
    <row r="1973" spans="4:35" s="2" customFormat="1" ht="27" customHeight="1" x14ac:dyDescent="0.3">
      <c r="D1973" s="23"/>
      <c r="AH1973" s="34"/>
      <c r="AI1973" s="34"/>
    </row>
    <row r="1974" spans="4:35" s="2" customFormat="1" ht="27" customHeight="1" x14ac:dyDescent="0.3">
      <c r="D1974" s="23"/>
      <c r="AH1974" s="34"/>
      <c r="AI1974" s="34"/>
    </row>
    <row r="1975" spans="4:35" s="2" customFormat="1" ht="27" customHeight="1" x14ac:dyDescent="0.3">
      <c r="D1975" s="23"/>
      <c r="AH1975" s="34"/>
      <c r="AI1975" s="34"/>
    </row>
    <row r="1976" spans="4:35" s="2" customFormat="1" ht="27" customHeight="1" x14ac:dyDescent="0.3">
      <c r="D1976" s="23"/>
      <c r="AH1976" s="34"/>
      <c r="AI1976" s="34"/>
    </row>
    <row r="1977" spans="4:35" s="2" customFormat="1" ht="27" customHeight="1" x14ac:dyDescent="0.3">
      <c r="D1977" s="23"/>
      <c r="AH1977" s="34"/>
      <c r="AI1977" s="34"/>
    </row>
    <row r="1978" spans="4:35" s="2" customFormat="1" ht="27" customHeight="1" x14ac:dyDescent="0.3">
      <c r="D1978" s="23"/>
      <c r="AH1978" s="34"/>
      <c r="AI1978" s="34"/>
    </row>
    <row r="1979" spans="4:35" s="2" customFormat="1" ht="27" customHeight="1" x14ac:dyDescent="0.3">
      <c r="D1979" s="23"/>
      <c r="AH1979" s="34"/>
      <c r="AI1979" s="34"/>
    </row>
    <row r="1980" spans="4:35" s="2" customFormat="1" ht="27" customHeight="1" x14ac:dyDescent="0.3">
      <c r="D1980" s="23"/>
      <c r="AH1980" s="34"/>
      <c r="AI1980" s="34"/>
    </row>
    <row r="1981" spans="4:35" s="2" customFormat="1" ht="27" customHeight="1" x14ac:dyDescent="0.3">
      <c r="D1981" s="23"/>
      <c r="AH1981" s="34"/>
      <c r="AI1981" s="34"/>
    </row>
    <row r="1982" spans="4:35" s="2" customFormat="1" ht="27" customHeight="1" x14ac:dyDescent="0.3">
      <c r="D1982" s="23"/>
      <c r="AH1982" s="34"/>
      <c r="AI1982" s="34"/>
    </row>
    <row r="1983" spans="4:35" s="2" customFormat="1" ht="27" customHeight="1" x14ac:dyDescent="0.3">
      <c r="D1983" s="23"/>
      <c r="AH1983" s="34"/>
      <c r="AI1983" s="34"/>
    </row>
    <row r="1984" spans="4:35" s="2" customFormat="1" ht="27" customHeight="1" x14ac:dyDescent="0.3">
      <c r="D1984" s="23"/>
      <c r="AH1984" s="34"/>
      <c r="AI1984" s="34"/>
    </row>
    <row r="1985" spans="4:35" s="2" customFormat="1" ht="27" customHeight="1" x14ac:dyDescent="0.3">
      <c r="D1985" s="23"/>
      <c r="AH1985" s="34"/>
      <c r="AI1985" s="34"/>
    </row>
    <row r="1986" spans="4:35" s="2" customFormat="1" ht="27" customHeight="1" x14ac:dyDescent="0.3">
      <c r="D1986" s="23"/>
      <c r="AH1986" s="34"/>
      <c r="AI1986" s="34"/>
    </row>
    <row r="1987" spans="4:35" s="2" customFormat="1" ht="27" customHeight="1" x14ac:dyDescent="0.3">
      <c r="D1987" s="23"/>
      <c r="AH1987" s="34"/>
      <c r="AI1987" s="34"/>
    </row>
    <row r="1988" spans="4:35" s="2" customFormat="1" ht="27" customHeight="1" x14ac:dyDescent="0.3">
      <c r="D1988" s="23"/>
      <c r="AH1988" s="34"/>
      <c r="AI1988" s="34"/>
    </row>
    <row r="1989" spans="4:35" s="2" customFormat="1" ht="27" customHeight="1" x14ac:dyDescent="0.3">
      <c r="D1989" s="23"/>
      <c r="AH1989" s="34"/>
      <c r="AI1989" s="34"/>
    </row>
    <row r="1990" spans="4:35" s="2" customFormat="1" ht="27" customHeight="1" x14ac:dyDescent="0.3">
      <c r="D1990" s="23"/>
      <c r="AH1990" s="34"/>
      <c r="AI1990" s="34"/>
    </row>
    <row r="1991" spans="4:35" s="2" customFormat="1" ht="27" customHeight="1" x14ac:dyDescent="0.3">
      <c r="D1991" s="23"/>
      <c r="AH1991" s="34"/>
      <c r="AI1991" s="34"/>
    </row>
    <row r="1992" spans="4:35" s="2" customFormat="1" ht="27" customHeight="1" x14ac:dyDescent="0.3">
      <c r="D1992" s="23"/>
      <c r="AH1992" s="34"/>
      <c r="AI1992" s="34"/>
    </row>
  </sheetData>
  <autoFilter ref="A8:AH8" xr:uid="{00000000-0009-0000-0000-000000000000}"/>
  <mergeCells count="1">
    <mergeCell ref="D6:D8"/>
  </mergeCells>
  <phoneticPr fontId="2" type="noConversion"/>
  <conditionalFormatting sqref="D1:D5">
    <cfRule type="duplicateValues" dxfId="186" priority="2231" stopIfTrue="1"/>
    <cfRule type="duplicateValues" dxfId="185" priority="2232" stopIfTrue="1"/>
    <cfRule type="duplicateValues" dxfId="184" priority="2233" stopIfTrue="1"/>
    <cfRule type="duplicateValues" dxfId="183" priority="2235" stopIfTrue="1"/>
  </conditionalFormatting>
  <conditionalFormatting sqref="D2:D5">
    <cfRule type="duplicateValues" dxfId="182" priority="2230" stopIfTrue="1"/>
  </conditionalFormatting>
  <conditionalFormatting sqref="D9:D28 D31:D50 D52:D72 D74:D93 D95:D114 D116:D124 D127:D146 D148:D167 D169:D188 D190:D197 D199:D208 D210:D228 D231:D248 D250:D270 D272:D291 D293:D300">
    <cfRule type="duplicateValues" dxfId="181" priority="2855"/>
  </conditionalFormatting>
  <conditionalFormatting sqref="D29">
    <cfRule type="duplicateValues" dxfId="180" priority="132"/>
  </conditionalFormatting>
  <conditionalFormatting sqref="D30">
    <cfRule type="duplicateValues" dxfId="179" priority="127"/>
  </conditionalFormatting>
  <conditionalFormatting sqref="D51">
    <cfRule type="duplicateValues" dxfId="178" priority="124"/>
  </conditionalFormatting>
  <conditionalFormatting sqref="D73">
    <cfRule type="duplicateValues" dxfId="177" priority="121"/>
  </conditionalFormatting>
  <conditionalFormatting sqref="D94">
    <cfRule type="duplicateValues" dxfId="176" priority="118"/>
  </conditionalFormatting>
  <conditionalFormatting sqref="D115">
    <cfRule type="duplicateValues" dxfId="175" priority="115"/>
  </conditionalFormatting>
  <conditionalFormatting sqref="D125:D126">
    <cfRule type="duplicateValues" dxfId="174" priority="112"/>
  </conditionalFormatting>
  <conditionalFormatting sqref="D147">
    <cfRule type="duplicateValues" dxfId="173" priority="106"/>
  </conditionalFormatting>
  <conditionalFormatting sqref="D168">
    <cfRule type="duplicateValues" dxfId="172" priority="103"/>
  </conditionalFormatting>
  <conditionalFormatting sqref="D189">
    <cfRule type="duplicateValues" dxfId="171" priority="100"/>
  </conditionalFormatting>
  <conditionalFormatting sqref="D198">
    <cfRule type="duplicateValues" dxfId="170" priority="97"/>
  </conditionalFormatting>
  <conditionalFormatting sqref="D209">
    <cfRule type="duplicateValues" dxfId="169" priority="94"/>
  </conditionalFormatting>
  <conditionalFormatting sqref="D229">
    <cfRule type="duplicateValues" dxfId="168" priority="91"/>
  </conditionalFormatting>
  <conditionalFormatting sqref="D230">
    <cfRule type="duplicateValues" dxfId="167" priority="88"/>
  </conditionalFormatting>
  <conditionalFormatting sqref="D249">
    <cfRule type="duplicateValues" dxfId="166" priority="85"/>
  </conditionalFormatting>
  <conditionalFormatting sqref="D271">
    <cfRule type="duplicateValues" dxfId="165" priority="82"/>
  </conditionalFormatting>
  <conditionalFormatting sqref="D292">
    <cfRule type="duplicateValues" dxfId="164" priority="79"/>
  </conditionalFormatting>
  <conditionalFormatting sqref="D301:D302">
    <cfRule type="duplicateValues" dxfId="163" priority="76"/>
  </conditionalFormatting>
  <conditionalFormatting sqref="D322">
    <cfRule type="duplicateValues" dxfId="162" priority="65"/>
  </conditionalFormatting>
  <conditionalFormatting sqref="D343">
    <cfRule type="duplicateValues" dxfId="161" priority="62"/>
  </conditionalFormatting>
  <conditionalFormatting sqref="D365">
    <cfRule type="duplicateValues" dxfId="160" priority="59"/>
  </conditionalFormatting>
  <conditionalFormatting sqref="D386">
    <cfRule type="duplicateValues" dxfId="159" priority="56"/>
  </conditionalFormatting>
  <conditionalFormatting sqref="D405">
    <cfRule type="duplicateValues" dxfId="158" priority="53"/>
  </conditionalFormatting>
  <conditionalFormatting sqref="D415">
    <cfRule type="duplicateValues" dxfId="157" priority="50"/>
  </conditionalFormatting>
  <conditionalFormatting sqref="D436">
    <cfRule type="duplicateValues" dxfId="156" priority="47"/>
  </conditionalFormatting>
  <conditionalFormatting sqref="D457">
    <cfRule type="duplicateValues" dxfId="155" priority="44"/>
  </conditionalFormatting>
  <conditionalFormatting sqref="D475">
    <cfRule type="duplicateValues" dxfId="154" priority="41"/>
  </conditionalFormatting>
  <conditionalFormatting sqref="D487">
    <cfRule type="duplicateValues" dxfId="153" priority="36"/>
  </conditionalFormatting>
  <conditionalFormatting sqref="D571:D1048576 D1:D8">
    <cfRule type="duplicateValues" dxfId="152" priority="2712"/>
  </conditionalFormatting>
  <conditionalFormatting sqref="E6:E8">
    <cfRule type="duplicateValues" dxfId="151" priority="2229" stopIfTrue="1"/>
  </conditionalFormatting>
  <conditionalFormatting sqref="E9:E28 E31:E50 E52:E72 E74:E93 E95:E114 E116:E124 E127:E146 E148:E167 E169:E188 E190:E197 E199:E208 E210:E228 E231:E248 E250:E270 E272:E291 E293:E300">
    <cfRule type="duplicateValues" dxfId="150" priority="2823"/>
    <cfRule type="duplicateValues" dxfId="149" priority="2839" stopIfTrue="1"/>
  </conditionalFormatting>
  <conditionalFormatting sqref="E29">
    <cfRule type="duplicateValues" dxfId="148" priority="128"/>
    <cfRule type="duplicateValues" dxfId="147" priority="129" stopIfTrue="1"/>
  </conditionalFormatting>
  <conditionalFormatting sqref="E30">
    <cfRule type="duplicateValues" dxfId="146" priority="125"/>
    <cfRule type="duplicateValues" dxfId="145" priority="126" stopIfTrue="1"/>
  </conditionalFormatting>
  <conditionalFormatting sqref="E51">
    <cfRule type="duplicateValues" dxfId="144" priority="122"/>
    <cfRule type="duplicateValues" dxfId="143" priority="123" stopIfTrue="1"/>
  </conditionalFormatting>
  <conditionalFormatting sqref="E73">
    <cfRule type="duplicateValues" dxfId="142" priority="119"/>
    <cfRule type="duplicateValues" dxfId="141" priority="120" stopIfTrue="1"/>
  </conditionalFormatting>
  <conditionalFormatting sqref="E94">
    <cfRule type="duplicateValues" dxfId="140" priority="116"/>
    <cfRule type="duplicateValues" dxfId="139" priority="117" stopIfTrue="1"/>
  </conditionalFormatting>
  <conditionalFormatting sqref="E115">
    <cfRule type="duplicateValues" dxfId="138" priority="113"/>
    <cfRule type="duplicateValues" dxfId="137" priority="114" stopIfTrue="1"/>
  </conditionalFormatting>
  <conditionalFormatting sqref="E125">
    <cfRule type="duplicateValues" dxfId="136" priority="110"/>
    <cfRule type="duplicateValues" dxfId="135" priority="111" stopIfTrue="1"/>
  </conditionalFormatting>
  <conditionalFormatting sqref="E126">
    <cfRule type="duplicateValues" dxfId="134" priority="107"/>
    <cfRule type="duplicateValues" dxfId="133" priority="108" stopIfTrue="1"/>
  </conditionalFormatting>
  <conditionalFormatting sqref="E147">
    <cfRule type="duplicateValues" dxfId="132" priority="104"/>
    <cfRule type="duplicateValues" dxfId="131" priority="105" stopIfTrue="1"/>
  </conditionalFormatting>
  <conditionalFormatting sqref="E168">
    <cfRule type="duplicateValues" dxfId="130" priority="101"/>
    <cfRule type="duplicateValues" dxfId="129" priority="102" stopIfTrue="1"/>
  </conditionalFormatting>
  <conditionalFormatting sqref="E189">
    <cfRule type="duplicateValues" dxfId="128" priority="98"/>
    <cfRule type="duplicateValues" dxfId="127" priority="99" stopIfTrue="1"/>
  </conditionalFormatting>
  <conditionalFormatting sqref="E198">
    <cfRule type="duplicateValues" dxfId="126" priority="95"/>
    <cfRule type="duplicateValues" dxfId="125" priority="96" stopIfTrue="1"/>
  </conditionalFormatting>
  <conditionalFormatting sqref="E209">
    <cfRule type="duplicateValues" dxfId="124" priority="92"/>
    <cfRule type="duplicateValues" dxfId="123" priority="93" stopIfTrue="1"/>
  </conditionalFormatting>
  <conditionalFormatting sqref="E229">
    <cfRule type="duplicateValues" dxfId="122" priority="89"/>
    <cfRule type="duplicateValues" dxfId="121" priority="90" stopIfTrue="1"/>
  </conditionalFormatting>
  <conditionalFormatting sqref="E230">
    <cfRule type="duplicateValues" dxfId="120" priority="86"/>
    <cfRule type="duplicateValues" dxfId="119" priority="87" stopIfTrue="1"/>
  </conditionalFormatting>
  <conditionalFormatting sqref="E249">
    <cfRule type="duplicateValues" dxfId="118" priority="83"/>
    <cfRule type="duplicateValues" dxfId="117" priority="84" stopIfTrue="1"/>
  </conditionalFormatting>
  <conditionalFormatting sqref="E271">
    <cfRule type="duplicateValues" dxfId="116" priority="80"/>
    <cfRule type="duplicateValues" dxfId="115" priority="81" stopIfTrue="1"/>
  </conditionalFormatting>
  <conditionalFormatting sqref="E292">
    <cfRule type="duplicateValues" dxfId="114" priority="77"/>
    <cfRule type="duplicateValues" dxfId="113" priority="78" stopIfTrue="1"/>
  </conditionalFormatting>
  <conditionalFormatting sqref="E301">
    <cfRule type="duplicateValues" dxfId="112" priority="74"/>
    <cfRule type="duplicateValues" dxfId="111" priority="75" stopIfTrue="1"/>
  </conditionalFormatting>
  <conditionalFormatting sqref="E302">
    <cfRule type="duplicateValues" dxfId="110" priority="71"/>
    <cfRule type="duplicateValues" dxfId="109" priority="72" stopIfTrue="1"/>
  </conditionalFormatting>
  <conditionalFormatting sqref="E322">
    <cfRule type="duplicateValues" dxfId="108" priority="63"/>
    <cfRule type="duplicateValues" dxfId="107" priority="64" stopIfTrue="1"/>
  </conditionalFormatting>
  <conditionalFormatting sqref="E343">
    <cfRule type="duplicateValues" dxfId="106" priority="60"/>
    <cfRule type="duplicateValues" dxfId="105" priority="61" stopIfTrue="1"/>
  </conditionalFormatting>
  <conditionalFormatting sqref="E365">
    <cfRule type="duplicateValues" dxfId="104" priority="57"/>
    <cfRule type="duplicateValues" dxfId="103" priority="58" stopIfTrue="1"/>
  </conditionalFormatting>
  <conditionalFormatting sqref="E386">
    <cfRule type="duplicateValues" dxfId="102" priority="54"/>
    <cfRule type="duplicateValues" dxfId="101" priority="55" stopIfTrue="1"/>
  </conditionalFormatting>
  <conditionalFormatting sqref="E405">
    <cfRule type="duplicateValues" dxfId="100" priority="51"/>
    <cfRule type="duplicateValues" dxfId="99" priority="52" stopIfTrue="1"/>
  </conditionalFormatting>
  <conditionalFormatting sqref="E415">
    <cfRule type="duplicateValues" dxfId="98" priority="48"/>
    <cfRule type="duplicateValues" dxfId="97" priority="49" stopIfTrue="1"/>
  </conditionalFormatting>
  <conditionalFormatting sqref="E436">
    <cfRule type="duplicateValues" dxfId="96" priority="45"/>
    <cfRule type="duplicateValues" dxfId="95" priority="46" stopIfTrue="1"/>
  </conditionalFormatting>
  <conditionalFormatting sqref="E457">
    <cfRule type="duplicateValues" dxfId="94" priority="42"/>
    <cfRule type="duplicateValues" dxfId="93" priority="43" stopIfTrue="1"/>
  </conditionalFormatting>
  <conditionalFormatting sqref="E475">
    <cfRule type="duplicateValues" dxfId="92" priority="39"/>
    <cfRule type="duplicateValues" dxfId="91" priority="40" stopIfTrue="1"/>
  </conditionalFormatting>
  <conditionalFormatting sqref="E487">
    <cfRule type="duplicateValues" dxfId="90" priority="37"/>
    <cfRule type="duplicateValues" dxfId="89" priority="38" stopIfTrue="1"/>
  </conditionalFormatting>
  <conditionalFormatting sqref="E571:E1048576 E1 E3:E8">
    <cfRule type="duplicateValues" dxfId="88" priority="2688"/>
  </conditionalFormatting>
  <conditionalFormatting sqref="E571:E1048576 E1:E8">
    <cfRule type="duplicateValues" dxfId="87" priority="619"/>
  </conditionalFormatting>
  <conditionalFormatting sqref="E571:E1048576">
    <cfRule type="duplicateValues" dxfId="86" priority="2686"/>
  </conditionalFormatting>
  <conditionalFormatting sqref="D501">
    <cfRule type="duplicateValues" dxfId="85" priority="30"/>
  </conditionalFormatting>
  <conditionalFormatting sqref="E501">
    <cfRule type="duplicateValues" dxfId="84" priority="31"/>
    <cfRule type="duplicateValues" dxfId="83" priority="32" stopIfTrue="1"/>
  </conditionalFormatting>
  <conditionalFormatting sqref="D506:D507">
    <cfRule type="duplicateValues" dxfId="82" priority="27"/>
  </conditionalFormatting>
  <conditionalFormatting sqref="E506">
    <cfRule type="duplicateValues" dxfId="81" priority="28"/>
    <cfRule type="duplicateValues" dxfId="80" priority="29" stopIfTrue="1"/>
  </conditionalFormatting>
  <conditionalFormatting sqref="E507">
    <cfRule type="duplicateValues" dxfId="79" priority="25"/>
    <cfRule type="duplicateValues" dxfId="78" priority="26" stopIfTrue="1"/>
  </conditionalFormatting>
  <conditionalFormatting sqref="D522">
    <cfRule type="duplicateValues" dxfId="77" priority="21"/>
  </conditionalFormatting>
  <conditionalFormatting sqref="E522">
    <cfRule type="duplicateValues" dxfId="76" priority="22"/>
    <cfRule type="duplicateValues" dxfId="75" priority="23" stopIfTrue="1"/>
  </conditionalFormatting>
  <conditionalFormatting sqref="D536:D538">
    <cfRule type="duplicateValues" dxfId="74" priority="18"/>
  </conditionalFormatting>
  <conditionalFormatting sqref="E536">
    <cfRule type="duplicateValues" dxfId="73" priority="19"/>
    <cfRule type="duplicateValues" dxfId="72" priority="20" stopIfTrue="1"/>
  </conditionalFormatting>
  <conditionalFormatting sqref="D303:D321 D323:D342 D344:D364 D366:D385 D387:D404 D406:D414 D416:D435 D437:D456 D458:D474 D476:D486 D488">
    <cfRule type="duplicateValues" dxfId="71" priority="2881"/>
  </conditionalFormatting>
  <conditionalFormatting sqref="E303:E321 E323:E342 E344:E364 E366:E385 E387:E404 E406:E414 E416:E435 E437:E456 E458:E474 E476:E486 E488">
    <cfRule type="duplicateValues" dxfId="70" priority="2893"/>
    <cfRule type="duplicateValues" dxfId="69" priority="2894" stopIfTrue="1"/>
  </conditionalFormatting>
  <conditionalFormatting sqref="D502:D505 D489:D500 D508:D521 D523:D535">
    <cfRule type="duplicateValues" dxfId="68" priority="2918"/>
  </conditionalFormatting>
  <conditionalFormatting sqref="E489:E500 E502:E505 E508:E521 E523:E535 E537:E538">
    <cfRule type="duplicateValues" dxfId="67" priority="2922"/>
    <cfRule type="duplicateValues" dxfId="66" priority="2923" stopIfTrue="1"/>
  </conditionalFormatting>
  <conditionalFormatting sqref="D550">
    <cfRule type="duplicateValues" dxfId="65" priority="12"/>
  </conditionalFormatting>
  <conditionalFormatting sqref="E550">
    <cfRule type="duplicateValues" dxfId="64" priority="10"/>
    <cfRule type="duplicateValues" dxfId="63" priority="11" stopIfTrue="1"/>
  </conditionalFormatting>
  <conditionalFormatting sqref="D563">
    <cfRule type="duplicateValues" dxfId="62" priority="9"/>
  </conditionalFormatting>
  <conditionalFormatting sqref="E563">
    <cfRule type="duplicateValues" dxfId="61" priority="7"/>
    <cfRule type="duplicateValues" dxfId="60" priority="8" stopIfTrue="1"/>
  </conditionalFormatting>
  <conditionalFormatting sqref="D569:D570">
    <cfRule type="duplicateValues" dxfId="59" priority="6"/>
  </conditionalFormatting>
  <conditionalFormatting sqref="E569">
    <cfRule type="duplicateValues" dxfId="58" priority="4"/>
    <cfRule type="duplicateValues" dxfId="57" priority="5" stopIfTrue="1"/>
  </conditionalFormatting>
  <conditionalFormatting sqref="E570">
    <cfRule type="duplicateValues" dxfId="56" priority="1"/>
    <cfRule type="duplicateValues" dxfId="55" priority="2" stopIfTrue="1"/>
  </conditionalFormatting>
  <conditionalFormatting sqref="D539:D549 D551:D562 D564:D568">
    <cfRule type="duplicateValues" dxfId="54" priority="2928"/>
  </conditionalFormatting>
  <conditionalFormatting sqref="E539:E549 E551:E562 E564:E568">
    <cfRule type="duplicateValues" dxfId="53" priority="2931"/>
    <cfRule type="duplicateValues" dxfId="52" priority="2932" stopIfTrue="1"/>
  </conditionalFormatting>
  <pageMargins left="0.7" right="0.7" top="0.75" bottom="0.75" header="0.3" footer="0.3"/>
  <pageSetup paperSize="9" scale="10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432"/>
  <sheetViews>
    <sheetView showGridLines="0" zoomScale="70" zoomScaleNormal="70" zoomScaleSheetLayoutView="70" workbookViewId="0">
      <pane xSplit="5" ySplit="7" topLeftCell="F8" activePane="bottomRight" state="frozen"/>
      <selection pane="topRight" activeCell="G1" sqref="G1"/>
      <selection pane="bottomLeft" activeCell="A9" sqref="A9"/>
      <selection pane="bottomRight" activeCell="J25" sqref="J25"/>
    </sheetView>
  </sheetViews>
  <sheetFormatPr defaultColWidth="9" defaultRowHeight="27" customHeight="1" x14ac:dyDescent="0.3"/>
  <cols>
    <col min="1" max="1" width="10.875" style="3" bestFit="1" customWidth="1"/>
    <col min="2" max="2" width="11.875" style="3" customWidth="1"/>
    <col min="3" max="3" width="11.125" style="3" customWidth="1"/>
    <col min="4" max="4" width="23.75" style="24" customWidth="1"/>
    <col min="5" max="5" width="25.875" style="3" customWidth="1"/>
    <col min="6" max="8" width="10.75" style="3" customWidth="1"/>
    <col min="9" max="9" width="13.75" style="3" bestFit="1" customWidth="1"/>
    <col min="10" max="12" width="10.75" style="25" customWidth="1"/>
    <col min="13" max="13" width="17.125" style="25" customWidth="1"/>
    <col min="14" max="14" width="19.375" style="25" bestFit="1" customWidth="1"/>
    <col min="15" max="15" width="10.75" style="99" customWidth="1"/>
    <col min="16" max="16" width="13.125" style="2" customWidth="1"/>
    <col min="17" max="17" width="16.125" style="3" customWidth="1"/>
    <col min="18" max="18" width="11.75" style="3" customWidth="1"/>
    <col min="19" max="19" width="13.875" style="3" customWidth="1"/>
    <col min="20" max="20" width="11.75" style="3" customWidth="1"/>
    <col min="21" max="22" width="16.625" style="35" customWidth="1"/>
    <col min="23" max="16384" width="9" style="3"/>
  </cols>
  <sheetData>
    <row r="1" spans="1:23" s="13" customFormat="1" ht="24.95" customHeight="1" x14ac:dyDescent="0.3">
      <c r="B1" s="15"/>
      <c r="C1" s="36" t="s">
        <v>139</v>
      </c>
      <c r="D1" s="4"/>
      <c r="E1" s="5"/>
      <c r="F1" s="6"/>
      <c r="G1" s="4"/>
      <c r="H1" s="41" t="s">
        <v>138</v>
      </c>
      <c r="I1" s="14"/>
      <c r="O1" s="91"/>
      <c r="P1" s="29"/>
    </row>
    <row r="2" spans="1:23" s="13" customFormat="1" ht="24.95" customHeight="1" x14ac:dyDescent="0.3">
      <c r="B2" s="15"/>
      <c r="C2" s="37" t="s">
        <v>0</v>
      </c>
      <c r="D2" s="7"/>
      <c r="E2" s="8"/>
      <c r="G2" s="17"/>
      <c r="H2" s="16"/>
      <c r="O2" s="92"/>
      <c r="P2" s="29"/>
      <c r="Q2" s="31"/>
      <c r="R2" s="32"/>
    </row>
    <row r="3" spans="1:23" s="13" customFormat="1" ht="24.95" customHeight="1" x14ac:dyDescent="0.3">
      <c r="B3" s="15"/>
      <c r="C3" s="37" t="s">
        <v>1</v>
      </c>
      <c r="D3" s="7"/>
      <c r="E3" s="5"/>
      <c r="F3" s="8"/>
      <c r="G3" s="17"/>
      <c r="H3" s="16"/>
      <c r="I3" s="9"/>
      <c r="O3" s="93"/>
      <c r="P3" s="29"/>
      <c r="Q3" s="31"/>
      <c r="R3" s="32"/>
    </row>
    <row r="4" spans="1:23" s="13" customFormat="1" ht="24.95" customHeight="1" x14ac:dyDescent="0.3">
      <c r="B4" s="15"/>
      <c r="C4" s="37" t="s">
        <v>1018</v>
      </c>
      <c r="D4" s="7"/>
      <c r="E4" s="5"/>
      <c r="F4" s="33"/>
      <c r="G4" s="17"/>
      <c r="H4" s="16"/>
      <c r="I4" s="9"/>
      <c r="O4" s="93"/>
      <c r="P4" s="29"/>
    </row>
    <row r="5" spans="1:23" s="13" customFormat="1" ht="38.25" x14ac:dyDescent="0.3">
      <c r="B5" s="15"/>
      <c r="C5" s="20"/>
      <c r="D5" s="44" t="s">
        <v>38</v>
      </c>
      <c r="E5" s="45"/>
      <c r="F5" s="46"/>
      <c r="G5" s="47"/>
      <c r="H5" s="48"/>
      <c r="I5" s="48"/>
      <c r="J5" s="49"/>
      <c r="K5" s="49"/>
      <c r="L5" s="49"/>
      <c r="M5" s="49"/>
      <c r="N5" s="49"/>
      <c r="O5" s="94"/>
      <c r="P5" s="21"/>
      <c r="Q5" s="21"/>
      <c r="R5" s="32" t="s">
        <v>28</v>
      </c>
      <c r="S5" s="21"/>
      <c r="T5" s="21"/>
      <c r="U5" s="21"/>
    </row>
    <row r="6" spans="1:23" s="21" customFormat="1" ht="27" customHeight="1" x14ac:dyDescent="0.3">
      <c r="B6" s="1"/>
      <c r="C6" s="1"/>
      <c r="D6" s="100" t="s">
        <v>2</v>
      </c>
      <c r="E6" s="10" t="s">
        <v>3</v>
      </c>
      <c r="F6" s="11" t="s">
        <v>1019</v>
      </c>
      <c r="G6" s="11" t="s">
        <v>1020</v>
      </c>
      <c r="H6" s="11" t="s">
        <v>1021</v>
      </c>
      <c r="I6" s="11" t="s">
        <v>1022</v>
      </c>
      <c r="J6" s="11" t="s">
        <v>1023</v>
      </c>
      <c r="K6" s="11" t="s">
        <v>1024</v>
      </c>
      <c r="L6" s="11" t="s">
        <v>1025</v>
      </c>
      <c r="M6" s="11" t="s">
        <v>1026</v>
      </c>
      <c r="N6" s="11" t="s">
        <v>1027</v>
      </c>
      <c r="O6" s="95" t="s">
        <v>16</v>
      </c>
      <c r="P6" s="26" t="s">
        <v>24</v>
      </c>
      <c r="R6" s="32" t="s">
        <v>29</v>
      </c>
      <c r="V6" s="1"/>
      <c r="W6" s="1"/>
    </row>
    <row r="7" spans="1:23" s="21" customFormat="1" ht="39" customHeight="1" x14ac:dyDescent="0.3">
      <c r="A7" s="12" t="s">
        <v>19</v>
      </c>
      <c r="B7" s="22" t="s">
        <v>20</v>
      </c>
      <c r="C7" s="22" t="s">
        <v>21</v>
      </c>
      <c r="D7" s="101"/>
      <c r="E7" s="52" t="s">
        <v>17</v>
      </c>
      <c r="F7" s="87" t="s">
        <v>1028</v>
      </c>
      <c r="G7" s="87" t="s">
        <v>18</v>
      </c>
      <c r="H7" s="87" t="s">
        <v>18</v>
      </c>
      <c r="I7" s="87" t="s">
        <v>18</v>
      </c>
      <c r="J7" s="87" t="s">
        <v>1029</v>
      </c>
      <c r="K7" s="87" t="s">
        <v>1028</v>
      </c>
      <c r="L7" s="87" t="s">
        <v>23</v>
      </c>
      <c r="M7" s="87" t="s">
        <v>23</v>
      </c>
      <c r="N7" s="88" t="s">
        <v>1030</v>
      </c>
      <c r="O7" s="96" t="s">
        <v>23</v>
      </c>
      <c r="P7" s="28" t="s">
        <v>25</v>
      </c>
      <c r="Q7" s="30" t="s">
        <v>26</v>
      </c>
      <c r="R7" s="55" t="s">
        <v>31</v>
      </c>
      <c r="S7" s="55" t="s">
        <v>32</v>
      </c>
      <c r="T7" s="55" t="s">
        <v>33</v>
      </c>
      <c r="U7" s="56" t="s">
        <v>30</v>
      </c>
      <c r="V7" s="1" t="s">
        <v>34</v>
      </c>
      <c r="W7" s="1" t="s">
        <v>35</v>
      </c>
    </row>
    <row r="8" spans="1:23" s="2" customFormat="1" ht="16.5" x14ac:dyDescent="0.3">
      <c r="A8" s="27">
        <v>46013</v>
      </c>
      <c r="B8" s="27">
        <v>46007</v>
      </c>
      <c r="C8" s="21" t="s">
        <v>49</v>
      </c>
      <c r="D8" s="57" t="s">
        <v>1041</v>
      </c>
      <c r="E8" s="58" t="s">
        <v>1033</v>
      </c>
      <c r="F8" s="57">
        <v>0.16</v>
      </c>
      <c r="G8" s="57">
        <v>48.52</v>
      </c>
      <c r="H8" s="57" t="s">
        <v>1038</v>
      </c>
      <c r="I8" s="57">
        <v>11.5</v>
      </c>
      <c r="J8" s="57">
        <v>2.57</v>
      </c>
      <c r="K8" s="57">
        <v>42.48</v>
      </c>
      <c r="L8" s="57" t="s">
        <v>1039</v>
      </c>
      <c r="M8" s="57" t="s">
        <v>1042</v>
      </c>
      <c r="N8" s="57" t="s">
        <v>1045</v>
      </c>
      <c r="O8" s="97">
        <v>7.5</v>
      </c>
      <c r="P8" s="59">
        <f>B8+14</f>
        <v>46021</v>
      </c>
      <c r="Q8" s="57"/>
      <c r="R8" s="59">
        <v>46021</v>
      </c>
      <c r="S8" s="59">
        <v>46022</v>
      </c>
      <c r="T8" s="59">
        <v>46020</v>
      </c>
      <c r="U8" s="57"/>
      <c r="V8" s="34"/>
      <c r="W8" s="34"/>
    </row>
    <row r="9" spans="1:23" s="2" customFormat="1" ht="16.5" x14ac:dyDescent="0.3">
      <c r="A9" s="27">
        <v>46013</v>
      </c>
      <c r="B9" s="27">
        <v>46009</v>
      </c>
      <c r="C9" s="21" t="s">
        <v>49</v>
      </c>
      <c r="D9" s="57" t="s">
        <v>1031</v>
      </c>
      <c r="E9" s="58" t="s">
        <v>1034</v>
      </c>
      <c r="F9" s="62">
        <v>0.8</v>
      </c>
      <c r="G9" s="57">
        <v>7.15</v>
      </c>
      <c r="H9" s="57" t="s">
        <v>1038</v>
      </c>
      <c r="I9" s="57" t="s">
        <v>1038</v>
      </c>
      <c r="J9" s="57">
        <v>2.38</v>
      </c>
      <c r="K9" s="57">
        <v>39.07</v>
      </c>
      <c r="L9" s="57" t="s">
        <v>1039</v>
      </c>
      <c r="M9" s="57" t="s">
        <v>1043</v>
      </c>
      <c r="N9" s="64"/>
      <c r="O9" s="97">
        <v>7.9</v>
      </c>
      <c r="P9" s="59">
        <f>B9+14</f>
        <v>46023</v>
      </c>
      <c r="Q9" s="57"/>
      <c r="R9" s="64"/>
      <c r="S9" s="59">
        <v>46022</v>
      </c>
      <c r="T9" s="59">
        <v>46020</v>
      </c>
      <c r="U9" s="57"/>
      <c r="V9" s="34"/>
      <c r="W9" s="34"/>
    </row>
    <row r="10" spans="1:23" s="2" customFormat="1" ht="16.5" x14ac:dyDescent="0.3">
      <c r="A10" s="27">
        <v>46013</v>
      </c>
      <c r="B10" s="27">
        <v>46009</v>
      </c>
      <c r="C10" s="21" t="s">
        <v>49</v>
      </c>
      <c r="D10" s="57" t="s">
        <v>1032</v>
      </c>
      <c r="E10" s="58" t="s">
        <v>1035</v>
      </c>
      <c r="F10" s="57">
        <v>0.38</v>
      </c>
      <c r="G10" s="57">
        <v>19.03</v>
      </c>
      <c r="H10" s="57" t="s">
        <v>1038</v>
      </c>
      <c r="I10" s="57" t="s">
        <v>1038</v>
      </c>
      <c r="J10" s="57">
        <v>2.5299999999999998</v>
      </c>
      <c r="K10" s="57">
        <v>43.49</v>
      </c>
      <c r="L10" s="57" t="s">
        <v>1039</v>
      </c>
      <c r="M10" s="57" t="s">
        <v>1042</v>
      </c>
      <c r="N10" s="57" t="s">
        <v>1044</v>
      </c>
      <c r="O10" s="97">
        <v>8</v>
      </c>
      <c r="P10" s="59">
        <f>B10+14</f>
        <v>46023</v>
      </c>
      <c r="Q10" s="57"/>
      <c r="R10" s="59">
        <v>46023</v>
      </c>
      <c r="S10" s="59">
        <v>46022</v>
      </c>
      <c r="T10" s="59">
        <v>46020</v>
      </c>
      <c r="U10" s="57"/>
      <c r="V10" s="34"/>
      <c r="W10" s="34"/>
    </row>
    <row r="11" spans="1:23" s="2" customFormat="1" ht="27" customHeight="1" x14ac:dyDescent="0.3">
      <c r="D11" s="23"/>
      <c r="O11" s="98"/>
      <c r="U11" s="34"/>
      <c r="V11" s="34"/>
    </row>
    <row r="12" spans="1:23" s="2" customFormat="1" ht="27" customHeight="1" x14ac:dyDescent="0.3">
      <c r="D12" s="23"/>
      <c r="O12" s="98"/>
      <c r="U12" s="34"/>
      <c r="V12" s="34"/>
    </row>
    <row r="13" spans="1:23" s="2" customFormat="1" ht="27" customHeight="1" x14ac:dyDescent="0.3">
      <c r="D13" s="23"/>
      <c r="O13" s="98"/>
      <c r="U13" s="34"/>
      <c r="V13" s="34"/>
    </row>
    <row r="14" spans="1:23" s="2" customFormat="1" ht="27" customHeight="1" x14ac:dyDescent="0.3">
      <c r="D14" s="23"/>
      <c r="O14" s="98"/>
      <c r="U14" s="34"/>
      <c r="V14" s="34"/>
    </row>
    <row r="15" spans="1:23" s="2" customFormat="1" ht="27" customHeight="1" x14ac:dyDescent="0.3">
      <c r="D15" s="23"/>
      <c r="O15" s="98"/>
      <c r="U15" s="34"/>
      <c r="V15" s="34"/>
    </row>
    <row r="16" spans="1:23" s="2" customFormat="1" ht="27" customHeight="1" x14ac:dyDescent="0.3">
      <c r="D16" s="23"/>
      <c r="O16" s="98"/>
      <c r="U16" s="34"/>
      <c r="V16" s="34"/>
    </row>
    <row r="17" spans="4:22" s="2" customFormat="1" ht="27" customHeight="1" x14ac:dyDescent="0.3">
      <c r="D17" s="23"/>
      <c r="O17" s="98"/>
      <c r="U17" s="34"/>
      <c r="V17" s="34"/>
    </row>
    <row r="18" spans="4:22" s="2" customFormat="1" ht="27" customHeight="1" x14ac:dyDescent="0.3">
      <c r="D18" s="23"/>
      <c r="O18" s="98"/>
      <c r="U18" s="34"/>
      <c r="V18" s="34"/>
    </row>
    <row r="19" spans="4:22" s="2" customFormat="1" ht="27" customHeight="1" x14ac:dyDescent="0.3">
      <c r="D19" s="23"/>
      <c r="O19" s="98"/>
      <c r="U19" s="34"/>
      <c r="V19" s="34"/>
    </row>
    <row r="20" spans="4:22" s="2" customFormat="1" ht="27" customHeight="1" x14ac:dyDescent="0.3">
      <c r="D20" s="23"/>
      <c r="O20" s="98"/>
      <c r="U20" s="34"/>
      <c r="V20" s="34"/>
    </row>
    <row r="21" spans="4:22" s="2" customFormat="1" ht="27" customHeight="1" x14ac:dyDescent="0.3">
      <c r="D21" s="23"/>
      <c r="O21" s="98"/>
      <c r="U21" s="34"/>
      <c r="V21" s="34"/>
    </row>
    <row r="22" spans="4:22" s="2" customFormat="1" ht="27" customHeight="1" x14ac:dyDescent="0.3">
      <c r="D22" s="23"/>
      <c r="O22" s="98"/>
      <c r="U22" s="34"/>
      <c r="V22" s="34"/>
    </row>
    <row r="23" spans="4:22" s="2" customFormat="1" ht="27" customHeight="1" x14ac:dyDescent="0.3">
      <c r="D23" s="23"/>
      <c r="O23" s="98"/>
      <c r="U23" s="34"/>
      <c r="V23" s="34"/>
    </row>
    <row r="24" spans="4:22" s="2" customFormat="1" ht="27" customHeight="1" x14ac:dyDescent="0.3">
      <c r="D24" s="23"/>
      <c r="O24" s="98"/>
      <c r="U24" s="34"/>
      <c r="V24" s="34"/>
    </row>
    <row r="25" spans="4:22" s="2" customFormat="1" ht="27" customHeight="1" x14ac:dyDescent="0.3">
      <c r="D25" s="23"/>
      <c r="O25" s="98"/>
      <c r="U25" s="34"/>
      <c r="V25" s="34"/>
    </row>
    <row r="26" spans="4:22" s="2" customFormat="1" ht="27" customHeight="1" x14ac:dyDescent="0.3">
      <c r="D26" s="23"/>
      <c r="O26" s="98"/>
      <c r="U26" s="34"/>
      <c r="V26" s="34"/>
    </row>
    <row r="27" spans="4:22" s="2" customFormat="1" ht="27" customHeight="1" x14ac:dyDescent="0.3">
      <c r="D27" s="23"/>
      <c r="O27" s="98"/>
      <c r="U27" s="34"/>
      <c r="V27" s="34"/>
    </row>
    <row r="28" spans="4:22" s="2" customFormat="1" ht="27" customHeight="1" x14ac:dyDescent="0.3">
      <c r="D28" s="23"/>
      <c r="O28" s="98"/>
      <c r="U28" s="34"/>
      <c r="V28" s="34"/>
    </row>
    <row r="29" spans="4:22" s="2" customFormat="1" ht="27" customHeight="1" x14ac:dyDescent="0.3">
      <c r="D29" s="23"/>
      <c r="O29" s="98"/>
      <c r="U29" s="34"/>
      <c r="V29" s="34"/>
    </row>
    <row r="30" spans="4:22" s="2" customFormat="1" ht="27" customHeight="1" x14ac:dyDescent="0.3">
      <c r="D30" s="23"/>
      <c r="O30" s="98"/>
      <c r="U30" s="34"/>
      <c r="V30" s="34"/>
    </row>
    <row r="31" spans="4:22" s="2" customFormat="1" ht="27" customHeight="1" x14ac:dyDescent="0.3">
      <c r="D31" s="23"/>
      <c r="O31" s="98"/>
      <c r="U31" s="34"/>
      <c r="V31" s="34"/>
    </row>
    <row r="32" spans="4:22" s="2" customFormat="1" ht="27" customHeight="1" x14ac:dyDescent="0.3">
      <c r="D32" s="23"/>
      <c r="O32" s="98"/>
      <c r="U32" s="34"/>
      <c r="V32" s="34"/>
    </row>
    <row r="33" spans="4:22" s="2" customFormat="1" ht="27" customHeight="1" x14ac:dyDescent="0.3">
      <c r="D33" s="23"/>
      <c r="O33" s="98"/>
      <c r="U33" s="34"/>
      <c r="V33" s="34"/>
    </row>
    <row r="34" spans="4:22" s="2" customFormat="1" ht="27" customHeight="1" x14ac:dyDescent="0.3">
      <c r="D34" s="23"/>
      <c r="O34" s="98"/>
      <c r="U34" s="34"/>
      <c r="V34" s="34"/>
    </row>
    <row r="35" spans="4:22" s="2" customFormat="1" ht="27" customHeight="1" x14ac:dyDescent="0.3">
      <c r="D35" s="23"/>
      <c r="O35" s="98"/>
      <c r="U35" s="34"/>
      <c r="V35" s="34"/>
    </row>
    <row r="36" spans="4:22" s="2" customFormat="1" ht="27" customHeight="1" x14ac:dyDescent="0.3">
      <c r="D36" s="23"/>
      <c r="O36" s="98"/>
      <c r="U36" s="34"/>
      <c r="V36" s="34"/>
    </row>
    <row r="37" spans="4:22" s="2" customFormat="1" ht="27" customHeight="1" x14ac:dyDescent="0.3">
      <c r="D37" s="23"/>
      <c r="O37" s="98"/>
      <c r="U37" s="34"/>
      <c r="V37" s="34"/>
    </row>
    <row r="38" spans="4:22" s="2" customFormat="1" ht="27" customHeight="1" x14ac:dyDescent="0.3">
      <c r="D38" s="23"/>
      <c r="O38" s="98"/>
      <c r="U38" s="34"/>
      <c r="V38" s="34"/>
    </row>
    <row r="39" spans="4:22" s="2" customFormat="1" ht="27" customHeight="1" x14ac:dyDescent="0.3">
      <c r="D39" s="23"/>
      <c r="O39" s="98"/>
      <c r="U39" s="34"/>
      <c r="V39" s="34"/>
    </row>
    <row r="40" spans="4:22" s="2" customFormat="1" ht="27" customHeight="1" x14ac:dyDescent="0.3">
      <c r="D40" s="23"/>
      <c r="O40" s="98"/>
      <c r="U40" s="34"/>
      <c r="V40" s="34"/>
    </row>
    <row r="41" spans="4:22" s="2" customFormat="1" ht="27" customHeight="1" x14ac:dyDescent="0.3">
      <c r="D41" s="23"/>
      <c r="O41" s="98"/>
      <c r="U41" s="34"/>
      <c r="V41" s="34"/>
    </row>
    <row r="42" spans="4:22" s="2" customFormat="1" ht="27" customHeight="1" x14ac:dyDescent="0.3">
      <c r="D42" s="23"/>
      <c r="O42" s="98"/>
      <c r="U42" s="34"/>
      <c r="V42" s="34"/>
    </row>
    <row r="43" spans="4:22" s="2" customFormat="1" ht="27" customHeight="1" x14ac:dyDescent="0.3">
      <c r="D43" s="23"/>
      <c r="O43" s="98"/>
      <c r="U43" s="34"/>
      <c r="V43" s="34"/>
    </row>
    <row r="44" spans="4:22" s="2" customFormat="1" ht="27" customHeight="1" x14ac:dyDescent="0.3">
      <c r="D44" s="23"/>
      <c r="O44" s="98"/>
      <c r="U44" s="34"/>
      <c r="V44" s="34"/>
    </row>
    <row r="45" spans="4:22" s="2" customFormat="1" ht="27" customHeight="1" x14ac:dyDescent="0.3">
      <c r="D45" s="23"/>
      <c r="O45" s="98"/>
      <c r="U45" s="34"/>
      <c r="V45" s="34"/>
    </row>
    <row r="46" spans="4:22" s="2" customFormat="1" ht="27" customHeight="1" x14ac:dyDescent="0.3">
      <c r="D46" s="23"/>
      <c r="O46" s="98"/>
      <c r="U46" s="34"/>
      <c r="V46" s="34"/>
    </row>
    <row r="47" spans="4:22" s="2" customFormat="1" ht="27" customHeight="1" x14ac:dyDescent="0.3">
      <c r="D47" s="23"/>
      <c r="O47" s="98"/>
      <c r="U47" s="34"/>
      <c r="V47" s="34"/>
    </row>
    <row r="48" spans="4:22" s="2" customFormat="1" ht="27" customHeight="1" x14ac:dyDescent="0.3">
      <c r="D48" s="23"/>
      <c r="O48" s="98"/>
      <c r="U48" s="34"/>
      <c r="V48" s="34"/>
    </row>
    <row r="49" spans="4:22" s="2" customFormat="1" ht="27" customHeight="1" x14ac:dyDescent="0.3">
      <c r="D49" s="23"/>
      <c r="O49" s="98"/>
      <c r="U49" s="34"/>
      <c r="V49" s="34"/>
    </row>
    <row r="50" spans="4:22" s="2" customFormat="1" ht="27" customHeight="1" x14ac:dyDescent="0.3">
      <c r="D50" s="23"/>
      <c r="O50" s="98"/>
      <c r="U50" s="34"/>
      <c r="V50" s="34"/>
    </row>
    <row r="51" spans="4:22" s="2" customFormat="1" ht="27" customHeight="1" x14ac:dyDescent="0.3">
      <c r="D51" s="23"/>
      <c r="O51" s="98"/>
      <c r="U51" s="34"/>
      <c r="V51" s="34"/>
    </row>
    <row r="52" spans="4:22" s="2" customFormat="1" ht="27" customHeight="1" x14ac:dyDescent="0.3">
      <c r="D52" s="23"/>
      <c r="O52" s="98"/>
      <c r="U52" s="34"/>
      <c r="V52" s="34"/>
    </row>
    <row r="53" spans="4:22" s="2" customFormat="1" ht="27" customHeight="1" x14ac:dyDescent="0.3">
      <c r="D53" s="23"/>
      <c r="O53" s="98"/>
      <c r="U53" s="34"/>
      <c r="V53" s="34"/>
    </row>
    <row r="54" spans="4:22" s="2" customFormat="1" ht="27" customHeight="1" x14ac:dyDescent="0.3">
      <c r="D54" s="23"/>
      <c r="O54" s="98"/>
      <c r="U54" s="34"/>
      <c r="V54" s="34"/>
    </row>
    <row r="55" spans="4:22" s="2" customFormat="1" ht="27" customHeight="1" x14ac:dyDescent="0.3">
      <c r="D55" s="23"/>
      <c r="O55" s="98"/>
      <c r="U55" s="34"/>
      <c r="V55" s="34"/>
    </row>
    <row r="56" spans="4:22" s="2" customFormat="1" ht="27" customHeight="1" x14ac:dyDescent="0.3">
      <c r="D56" s="23"/>
      <c r="O56" s="98"/>
      <c r="U56" s="34"/>
      <c r="V56" s="34"/>
    </row>
    <row r="57" spans="4:22" s="2" customFormat="1" ht="27" customHeight="1" x14ac:dyDescent="0.3">
      <c r="D57" s="23"/>
      <c r="O57" s="98"/>
      <c r="U57" s="34"/>
      <c r="V57" s="34"/>
    </row>
    <row r="58" spans="4:22" s="2" customFormat="1" ht="27" customHeight="1" x14ac:dyDescent="0.3">
      <c r="D58" s="23"/>
      <c r="O58" s="98"/>
      <c r="U58" s="34"/>
      <c r="V58" s="34"/>
    </row>
    <row r="59" spans="4:22" s="2" customFormat="1" ht="27" customHeight="1" x14ac:dyDescent="0.3">
      <c r="D59" s="23"/>
      <c r="O59" s="98"/>
      <c r="U59" s="34"/>
      <c r="V59" s="34"/>
    </row>
    <row r="60" spans="4:22" s="2" customFormat="1" ht="27" customHeight="1" x14ac:dyDescent="0.3">
      <c r="D60" s="23"/>
      <c r="O60" s="98"/>
      <c r="U60" s="34"/>
      <c r="V60" s="34"/>
    </row>
    <row r="61" spans="4:22" s="2" customFormat="1" ht="27" customHeight="1" x14ac:dyDescent="0.3">
      <c r="D61" s="23"/>
      <c r="O61" s="98"/>
      <c r="U61" s="34"/>
      <c r="V61" s="34"/>
    </row>
    <row r="62" spans="4:22" s="2" customFormat="1" ht="27" customHeight="1" x14ac:dyDescent="0.3">
      <c r="D62" s="23"/>
      <c r="O62" s="98"/>
      <c r="U62" s="34"/>
      <c r="V62" s="34"/>
    </row>
    <row r="63" spans="4:22" s="2" customFormat="1" ht="27" customHeight="1" x14ac:dyDescent="0.3">
      <c r="D63" s="23"/>
      <c r="O63" s="98"/>
      <c r="U63" s="34"/>
      <c r="V63" s="34"/>
    </row>
    <row r="64" spans="4:22" s="2" customFormat="1" ht="27" customHeight="1" x14ac:dyDescent="0.3">
      <c r="D64" s="23"/>
      <c r="O64" s="98"/>
      <c r="U64" s="34"/>
      <c r="V64" s="34"/>
    </row>
    <row r="65" spans="4:22" s="2" customFormat="1" ht="27" customHeight="1" x14ac:dyDescent="0.3">
      <c r="D65" s="23"/>
      <c r="O65" s="98"/>
      <c r="U65" s="34"/>
      <c r="V65" s="34"/>
    </row>
    <row r="66" spans="4:22" s="2" customFormat="1" ht="27" customHeight="1" x14ac:dyDescent="0.3">
      <c r="D66" s="23"/>
      <c r="O66" s="98"/>
      <c r="U66" s="34"/>
      <c r="V66" s="34"/>
    </row>
    <row r="67" spans="4:22" s="2" customFormat="1" ht="27" customHeight="1" x14ac:dyDescent="0.3">
      <c r="D67" s="23"/>
      <c r="O67" s="98"/>
      <c r="U67" s="34"/>
      <c r="V67" s="34"/>
    </row>
    <row r="68" spans="4:22" s="2" customFormat="1" ht="27" customHeight="1" x14ac:dyDescent="0.3">
      <c r="D68" s="23"/>
      <c r="O68" s="98"/>
      <c r="U68" s="34"/>
      <c r="V68" s="34"/>
    </row>
    <row r="69" spans="4:22" s="2" customFormat="1" ht="27" customHeight="1" x14ac:dyDescent="0.3">
      <c r="D69" s="23"/>
      <c r="O69" s="98"/>
      <c r="U69" s="34"/>
      <c r="V69" s="34"/>
    </row>
    <row r="70" spans="4:22" s="2" customFormat="1" ht="27" customHeight="1" x14ac:dyDescent="0.3">
      <c r="D70" s="23"/>
      <c r="O70" s="98"/>
      <c r="U70" s="34"/>
      <c r="V70" s="34"/>
    </row>
    <row r="71" spans="4:22" s="2" customFormat="1" ht="27" customHeight="1" x14ac:dyDescent="0.3">
      <c r="D71" s="23"/>
      <c r="O71" s="98"/>
      <c r="U71" s="34"/>
      <c r="V71" s="34"/>
    </row>
    <row r="72" spans="4:22" s="2" customFormat="1" ht="27" customHeight="1" x14ac:dyDescent="0.3">
      <c r="D72" s="23"/>
      <c r="O72" s="98"/>
      <c r="U72" s="34"/>
      <c r="V72" s="34"/>
    </row>
    <row r="73" spans="4:22" s="2" customFormat="1" ht="27" customHeight="1" x14ac:dyDescent="0.3">
      <c r="D73" s="23"/>
      <c r="O73" s="98"/>
      <c r="U73" s="34"/>
      <c r="V73" s="34"/>
    </row>
    <row r="74" spans="4:22" s="2" customFormat="1" ht="27" customHeight="1" x14ac:dyDescent="0.3">
      <c r="D74" s="23"/>
      <c r="O74" s="98"/>
      <c r="U74" s="34"/>
      <c r="V74" s="34"/>
    </row>
    <row r="75" spans="4:22" s="2" customFormat="1" ht="27" customHeight="1" x14ac:dyDescent="0.3">
      <c r="D75" s="23"/>
      <c r="O75" s="98"/>
      <c r="U75" s="34"/>
      <c r="V75" s="34"/>
    </row>
    <row r="76" spans="4:22" s="2" customFormat="1" ht="27" customHeight="1" x14ac:dyDescent="0.3">
      <c r="D76" s="23"/>
      <c r="O76" s="98"/>
      <c r="U76" s="34"/>
      <c r="V76" s="34"/>
    </row>
    <row r="77" spans="4:22" s="2" customFormat="1" ht="27" customHeight="1" x14ac:dyDescent="0.3">
      <c r="D77" s="23"/>
      <c r="O77" s="98"/>
      <c r="U77" s="34"/>
      <c r="V77" s="34"/>
    </row>
    <row r="78" spans="4:22" s="2" customFormat="1" ht="27" customHeight="1" x14ac:dyDescent="0.3">
      <c r="D78" s="23"/>
      <c r="O78" s="98"/>
      <c r="U78" s="34"/>
      <c r="V78" s="34"/>
    </row>
    <row r="79" spans="4:22" s="2" customFormat="1" ht="27" customHeight="1" x14ac:dyDescent="0.3">
      <c r="D79" s="23"/>
      <c r="O79" s="98"/>
      <c r="U79" s="34"/>
      <c r="V79" s="34"/>
    </row>
    <row r="80" spans="4:22" s="2" customFormat="1" ht="27" customHeight="1" x14ac:dyDescent="0.3">
      <c r="D80" s="23"/>
      <c r="O80" s="98"/>
      <c r="U80" s="34"/>
      <c r="V80" s="34"/>
    </row>
    <row r="81" spans="4:22" s="2" customFormat="1" ht="27" customHeight="1" x14ac:dyDescent="0.3">
      <c r="D81" s="23"/>
      <c r="O81" s="98"/>
      <c r="U81" s="34"/>
      <c r="V81" s="34"/>
    </row>
    <row r="82" spans="4:22" s="2" customFormat="1" ht="27" customHeight="1" x14ac:dyDescent="0.3">
      <c r="D82" s="23"/>
      <c r="O82" s="98"/>
      <c r="U82" s="34"/>
      <c r="V82" s="34"/>
    </row>
    <row r="83" spans="4:22" s="2" customFormat="1" ht="27" customHeight="1" x14ac:dyDescent="0.3">
      <c r="D83" s="23"/>
      <c r="O83" s="98"/>
      <c r="U83" s="34"/>
      <c r="V83" s="34"/>
    </row>
    <row r="84" spans="4:22" s="2" customFormat="1" ht="27" customHeight="1" x14ac:dyDescent="0.3">
      <c r="D84" s="23"/>
      <c r="O84" s="98"/>
      <c r="U84" s="34"/>
      <c r="V84" s="34"/>
    </row>
    <row r="85" spans="4:22" s="2" customFormat="1" ht="27" customHeight="1" x14ac:dyDescent="0.3">
      <c r="D85" s="23"/>
      <c r="O85" s="98"/>
      <c r="U85" s="34"/>
      <c r="V85" s="34"/>
    </row>
    <row r="86" spans="4:22" s="2" customFormat="1" ht="27" customHeight="1" x14ac:dyDescent="0.3">
      <c r="D86" s="23"/>
      <c r="O86" s="98"/>
      <c r="U86" s="34"/>
      <c r="V86" s="34"/>
    </row>
    <row r="87" spans="4:22" s="2" customFormat="1" ht="27" customHeight="1" x14ac:dyDescent="0.3">
      <c r="D87" s="23"/>
      <c r="O87" s="98"/>
      <c r="U87" s="34"/>
      <c r="V87" s="34"/>
    </row>
    <row r="88" spans="4:22" s="2" customFormat="1" ht="27" customHeight="1" x14ac:dyDescent="0.3">
      <c r="D88" s="23"/>
      <c r="O88" s="98"/>
      <c r="U88" s="34"/>
      <c r="V88" s="34"/>
    </row>
    <row r="89" spans="4:22" s="2" customFormat="1" ht="27" customHeight="1" x14ac:dyDescent="0.3">
      <c r="D89" s="23"/>
      <c r="O89" s="98"/>
      <c r="U89" s="34"/>
      <c r="V89" s="34"/>
    </row>
    <row r="90" spans="4:22" s="2" customFormat="1" ht="27" customHeight="1" x14ac:dyDescent="0.3">
      <c r="D90" s="23"/>
      <c r="O90" s="98"/>
      <c r="U90" s="34"/>
      <c r="V90" s="34"/>
    </row>
    <row r="91" spans="4:22" s="2" customFormat="1" ht="27" customHeight="1" x14ac:dyDescent="0.3">
      <c r="D91" s="23"/>
      <c r="O91" s="98"/>
      <c r="U91" s="34"/>
      <c r="V91" s="34"/>
    </row>
    <row r="92" spans="4:22" s="2" customFormat="1" ht="27" customHeight="1" x14ac:dyDescent="0.3">
      <c r="D92" s="23"/>
      <c r="O92" s="98"/>
      <c r="U92" s="34"/>
      <c r="V92" s="34"/>
    </row>
    <row r="93" spans="4:22" s="2" customFormat="1" ht="27" customHeight="1" x14ac:dyDescent="0.3">
      <c r="D93" s="23"/>
      <c r="O93" s="98"/>
      <c r="U93" s="34"/>
      <c r="V93" s="34"/>
    </row>
    <row r="94" spans="4:22" s="2" customFormat="1" ht="27" customHeight="1" x14ac:dyDescent="0.3">
      <c r="D94" s="23"/>
      <c r="O94" s="98"/>
      <c r="U94" s="34"/>
      <c r="V94" s="34"/>
    </row>
    <row r="95" spans="4:22" s="2" customFormat="1" ht="27" customHeight="1" x14ac:dyDescent="0.3">
      <c r="D95" s="23"/>
      <c r="O95" s="98"/>
      <c r="U95" s="34"/>
      <c r="V95" s="34"/>
    </row>
    <row r="96" spans="4:22" s="2" customFormat="1" ht="27" customHeight="1" x14ac:dyDescent="0.3">
      <c r="D96" s="23"/>
      <c r="O96" s="98"/>
      <c r="U96" s="34"/>
      <c r="V96" s="34"/>
    </row>
    <row r="97" spans="4:22" s="2" customFormat="1" ht="27" customHeight="1" x14ac:dyDescent="0.3">
      <c r="D97" s="23"/>
      <c r="O97" s="98"/>
      <c r="U97" s="34"/>
      <c r="V97" s="34"/>
    </row>
    <row r="98" spans="4:22" s="2" customFormat="1" ht="27" customHeight="1" x14ac:dyDescent="0.3">
      <c r="D98" s="23"/>
      <c r="O98" s="98"/>
      <c r="U98" s="34"/>
      <c r="V98" s="34"/>
    </row>
    <row r="99" spans="4:22" s="2" customFormat="1" ht="27" customHeight="1" x14ac:dyDescent="0.3">
      <c r="D99" s="23"/>
      <c r="O99" s="98"/>
      <c r="U99" s="34"/>
      <c r="V99" s="34"/>
    </row>
    <row r="100" spans="4:22" s="2" customFormat="1" ht="27" customHeight="1" x14ac:dyDescent="0.3">
      <c r="D100" s="23"/>
      <c r="O100" s="98"/>
      <c r="U100" s="34"/>
      <c r="V100" s="34"/>
    </row>
    <row r="101" spans="4:22" s="2" customFormat="1" ht="27" customHeight="1" x14ac:dyDescent="0.3">
      <c r="D101" s="23"/>
      <c r="O101" s="98"/>
      <c r="U101" s="34"/>
      <c r="V101" s="34"/>
    </row>
    <row r="102" spans="4:22" s="2" customFormat="1" ht="27" customHeight="1" x14ac:dyDescent="0.3">
      <c r="D102" s="23"/>
      <c r="O102" s="98"/>
      <c r="U102" s="34"/>
      <c r="V102" s="34"/>
    </row>
    <row r="103" spans="4:22" s="2" customFormat="1" ht="27" customHeight="1" x14ac:dyDescent="0.3">
      <c r="D103" s="23"/>
      <c r="O103" s="98"/>
      <c r="U103" s="34"/>
      <c r="V103" s="34"/>
    </row>
    <row r="104" spans="4:22" s="2" customFormat="1" ht="27" customHeight="1" x14ac:dyDescent="0.3">
      <c r="D104" s="23"/>
      <c r="O104" s="98"/>
      <c r="U104" s="34"/>
      <c r="V104" s="34"/>
    </row>
    <row r="105" spans="4:22" s="2" customFormat="1" ht="27" customHeight="1" x14ac:dyDescent="0.3">
      <c r="D105" s="23"/>
      <c r="O105" s="98"/>
      <c r="U105" s="34"/>
      <c r="V105" s="34"/>
    </row>
    <row r="106" spans="4:22" s="2" customFormat="1" ht="27" customHeight="1" x14ac:dyDescent="0.3">
      <c r="D106" s="23"/>
      <c r="O106" s="98"/>
      <c r="U106" s="34"/>
      <c r="V106" s="34"/>
    </row>
    <row r="107" spans="4:22" s="2" customFormat="1" ht="27" customHeight="1" x14ac:dyDescent="0.3">
      <c r="D107" s="23"/>
      <c r="O107" s="98"/>
      <c r="U107" s="34"/>
      <c r="V107" s="34"/>
    </row>
    <row r="108" spans="4:22" s="2" customFormat="1" ht="27" customHeight="1" x14ac:dyDescent="0.3">
      <c r="D108" s="23"/>
      <c r="O108" s="98"/>
      <c r="U108" s="34"/>
      <c r="V108" s="34"/>
    </row>
    <row r="109" spans="4:22" s="2" customFormat="1" ht="27" customHeight="1" x14ac:dyDescent="0.3">
      <c r="D109" s="23"/>
      <c r="O109" s="98"/>
      <c r="U109" s="34"/>
      <c r="V109" s="34"/>
    </row>
    <row r="110" spans="4:22" s="2" customFormat="1" ht="27" customHeight="1" x14ac:dyDescent="0.3">
      <c r="D110" s="23"/>
      <c r="O110" s="98"/>
      <c r="U110" s="34"/>
      <c r="V110" s="34"/>
    </row>
    <row r="111" spans="4:22" s="2" customFormat="1" ht="27" customHeight="1" x14ac:dyDescent="0.3">
      <c r="D111" s="23"/>
      <c r="O111" s="98"/>
      <c r="U111" s="34"/>
      <c r="V111" s="34"/>
    </row>
    <row r="112" spans="4:22" s="2" customFormat="1" ht="27" customHeight="1" x14ac:dyDescent="0.3">
      <c r="D112" s="23"/>
      <c r="O112" s="98"/>
      <c r="U112" s="34"/>
      <c r="V112" s="34"/>
    </row>
    <row r="113" spans="4:22" s="2" customFormat="1" ht="27" customHeight="1" x14ac:dyDescent="0.3">
      <c r="D113" s="23"/>
      <c r="O113" s="98"/>
      <c r="U113" s="34"/>
      <c r="V113" s="34"/>
    </row>
    <row r="114" spans="4:22" s="2" customFormat="1" ht="27" customHeight="1" x14ac:dyDescent="0.3">
      <c r="D114" s="23"/>
      <c r="O114" s="98"/>
      <c r="U114" s="34"/>
      <c r="V114" s="34"/>
    </row>
    <row r="115" spans="4:22" s="2" customFormat="1" ht="27" customHeight="1" x14ac:dyDescent="0.3">
      <c r="D115" s="23"/>
      <c r="O115" s="98"/>
      <c r="U115" s="34"/>
      <c r="V115" s="34"/>
    </row>
    <row r="116" spans="4:22" s="2" customFormat="1" ht="27" customHeight="1" x14ac:dyDescent="0.3">
      <c r="D116" s="23"/>
      <c r="O116" s="98"/>
      <c r="U116" s="34"/>
      <c r="V116" s="34"/>
    </row>
    <row r="117" spans="4:22" s="2" customFormat="1" ht="27" customHeight="1" x14ac:dyDescent="0.3">
      <c r="D117" s="23"/>
      <c r="O117" s="98"/>
      <c r="U117" s="34"/>
      <c r="V117" s="34"/>
    </row>
    <row r="118" spans="4:22" s="2" customFormat="1" ht="27" customHeight="1" x14ac:dyDescent="0.3">
      <c r="D118" s="23"/>
      <c r="O118" s="98"/>
      <c r="U118" s="34"/>
      <c r="V118" s="34"/>
    </row>
    <row r="119" spans="4:22" s="2" customFormat="1" ht="27" customHeight="1" x14ac:dyDescent="0.3">
      <c r="D119" s="23"/>
      <c r="O119" s="98"/>
      <c r="U119" s="34"/>
      <c r="V119" s="34"/>
    </row>
    <row r="120" spans="4:22" s="2" customFormat="1" ht="27" customHeight="1" x14ac:dyDescent="0.3">
      <c r="D120" s="23"/>
      <c r="O120" s="98"/>
      <c r="U120" s="34"/>
      <c r="V120" s="34"/>
    </row>
    <row r="121" spans="4:22" s="2" customFormat="1" ht="27" customHeight="1" x14ac:dyDescent="0.3">
      <c r="D121" s="23"/>
      <c r="O121" s="98"/>
      <c r="U121" s="34"/>
      <c r="V121" s="34"/>
    </row>
    <row r="122" spans="4:22" s="2" customFormat="1" ht="27" customHeight="1" x14ac:dyDescent="0.3">
      <c r="D122" s="23"/>
      <c r="O122" s="98"/>
      <c r="U122" s="34"/>
      <c r="V122" s="34"/>
    </row>
    <row r="123" spans="4:22" s="2" customFormat="1" ht="27" customHeight="1" x14ac:dyDescent="0.3">
      <c r="D123" s="23"/>
      <c r="O123" s="98"/>
      <c r="U123" s="34"/>
      <c r="V123" s="34"/>
    </row>
    <row r="124" spans="4:22" s="2" customFormat="1" ht="27" customHeight="1" x14ac:dyDescent="0.3">
      <c r="D124" s="23"/>
      <c r="O124" s="98"/>
      <c r="U124" s="34"/>
      <c r="V124" s="34"/>
    </row>
    <row r="125" spans="4:22" s="2" customFormat="1" ht="27" customHeight="1" x14ac:dyDescent="0.3">
      <c r="D125" s="23"/>
      <c r="O125" s="98"/>
      <c r="U125" s="34"/>
      <c r="V125" s="34"/>
    </row>
    <row r="126" spans="4:22" s="2" customFormat="1" ht="27" customHeight="1" x14ac:dyDescent="0.3">
      <c r="D126" s="23"/>
      <c r="O126" s="98"/>
      <c r="U126" s="34"/>
      <c r="V126" s="34"/>
    </row>
    <row r="127" spans="4:22" s="2" customFormat="1" ht="27" customHeight="1" x14ac:dyDescent="0.3">
      <c r="D127" s="23"/>
      <c r="O127" s="98"/>
      <c r="U127" s="34"/>
      <c r="V127" s="34"/>
    </row>
    <row r="128" spans="4:22" s="2" customFormat="1" ht="27" customHeight="1" x14ac:dyDescent="0.3">
      <c r="D128" s="23"/>
      <c r="O128" s="98"/>
      <c r="U128" s="34"/>
      <c r="V128" s="34"/>
    </row>
    <row r="129" spans="4:22" s="2" customFormat="1" ht="27" customHeight="1" x14ac:dyDescent="0.3">
      <c r="D129" s="23"/>
      <c r="O129" s="98"/>
      <c r="U129" s="34"/>
      <c r="V129" s="34"/>
    </row>
    <row r="130" spans="4:22" s="2" customFormat="1" ht="27" customHeight="1" x14ac:dyDescent="0.3">
      <c r="D130" s="23"/>
      <c r="O130" s="98"/>
      <c r="U130" s="34"/>
      <c r="V130" s="34"/>
    </row>
    <row r="131" spans="4:22" s="2" customFormat="1" ht="27" customHeight="1" x14ac:dyDescent="0.3">
      <c r="D131" s="23"/>
      <c r="O131" s="98"/>
      <c r="U131" s="34"/>
      <c r="V131" s="34"/>
    </row>
    <row r="132" spans="4:22" s="2" customFormat="1" ht="27" customHeight="1" x14ac:dyDescent="0.3">
      <c r="D132" s="23"/>
      <c r="O132" s="98"/>
      <c r="U132" s="34"/>
      <c r="V132" s="34"/>
    </row>
    <row r="133" spans="4:22" s="2" customFormat="1" ht="27" customHeight="1" x14ac:dyDescent="0.3">
      <c r="D133" s="23"/>
      <c r="O133" s="98"/>
      <c r="U133" s="34"/>
      <c r="V133" s="34"/>
    </row>
    <row r="134" spans="4:22" s="2" customFormat="1" ht="27" customHeight="1" x14ac:dyDescent="0.3">
      <c r="D134" s="23"/>
      <c r="O134" s="98"/>
      <c r="U134" s="34"/>
      <c r="V134" s="34"/>
    </row>
    <row r="135" spans="4:22" s="2" customFormat="1" ht="27" customHeight="1" x14ac:dyDescent="0.3">
      <c r="D135" s="23"/>
      <c r="O135" s="98"/>
      <c r="U135" s="34"/>
      <c r="V135" s="34"/>
    </row>
    <row r="136" spans="4:22" s="2" customFormat="1" ht="27" customHeight="1" x14ac:dyDescent="0.3">
      <c r="D136" s="23"/>
      <c r="O136" s="98"/>
      <c r="U136" s="34"/>
      <c r="V136" s="34"/>
    </row>
    <row r="137" spans="4:22" s="2" customFormat="1" ht="27" customHeight="1" x14ac:dyDescent="0.3">
      <c r="D137" s="23"/>
      <c r="O137" s="98"/>
      <c r="U137" s="34"/>
      <c r="V137" s="34"/>
    </row>
    <row r="138" spans="4:22" s="2" customFormat="1" ht="27" customHeight="1" x14ac:dyDescent="0.3">
      <c r="D138" s="23"/>
      <c r="O138" s="98"/>
      <c r="U138" s="34"/>
      <c r="V138" s="34"/>
    </row>
    <row r="139" spans="4:22" s="2" customFormat="1" ht="27" customHeight="1" x14ac:dyDescent="0.3">
      <c r="D139" s="23"/>
      <c r="O139" s="98"/>
      <c r="U139" s="34"/>
      <c r="V139" s="34"/>
    </row>
    <row r="140" spans="4:22" s="2" customFormat="1" ht="27" customHeight="1" x14ac:dyDescent="0.3">
      <c r="D140" s="23"/>
      <c r="O140" s="98"/>
      <c r="U140" s="34"/>
      <c r="V140" s="34"/>
    </row>
    <row r="141" spans="4:22" s="2" customFormat="1" ht="27" customHeight="1" x14ac:dyDescent="0.3">
      <c r="D141" s="23"/>
      <c r="O141" s="98"/>
      <c r="U141" s="34"/>
      <c r="V141" s="34"/>
    </row>
    <row r="142" spans="4:22" s="2" customFormat="1" ht="27" customHeight="1" x14ac:dyDescent="0.3">
      <c r="D142" s="23"/>
      <c r="O142" s="98"/>
      <c r="U142" s="34"/>
      <c r="V142" s="34"/>
    </row>
    <row r="143" spans="4:22" s="2" customFormat="1" ht="27" customHeight="1" x14ac:dyDescent="0.3">
      <c r="D143" s="23"/>
      <c r="O143" s="98"/>
      <c r="U143" s="34"/>
      <c r="V143" s="34"/>
    </row>
    <row r="144" spans="4:22" s="2" customFormat="1" ht="27" customHeight="1" x14ac:dyDescent="0.3">
      <c r="D144" s="23"/>
      <c r="O144" s="98"/>
      <c r="U144" s="34"/>
      <c r="V144" s="34"/>
    </row>
    <row r="145" spans="4:22" s="2" customFormat="1" ht="27" customHeight="1" x14ac:dyDescent="0.3">
      <c r="D145" s="23"/>
      <c r="O145" s="98"/>
      <c r="U145" s="34"/>
      <c r="V145" s="34"/>
    </row>
    <row r="146" spans="4:22" s="2" customFormat="1" ht="27" customHeight="1" x14ac:dyDescent="0.3">
      <c r="D146" s="23"/>
      <c r="O146" s="98"/>
      <c r="U146" s="34"/>
      <c r="V146" s="34"/>
    </row>
    <row r="147" spans="4:22" s="2" customFormat="1" ht="27" customHeight="1" x14ac:dyDescent="0.3">
      <c r="D147" s="23"/>
      <c r="O147" s="98"/>
      <c r="U147" s="34"/>
      <c r="V147" s="34"/>
    </row>
    <row r="148" spans="4:22" s="2" customFormat="1" ht="27" customHeight="1" x14ac:dyDescent="0.3">
      <c r="D148" s="23"/>
      <c r="O148" s="98"/>
      <c r="U148" s="34"/>
      <c r="V148" s="34"/>
    </row>
    <row r="149" spans="4:22" s="2" customFormat="1" ht="27" customHeight="1" x14ac:dyDescent="0.3">
      <c r="D149" s="23"/>
      <c r="O149" s="98"/>
      <c r="U149" s="34"/>
      <c r="V149" s="34"/>
    </row>
    <row r="150" spans="4:22" s="2" customFormat="1" ht="27" customHeight="1" x14ac:dyDescent="0.3">
      <c r="D150" s="23"/>
      <c r="O150" s="98"/>
      <c r="U150" s="34"/>
      <c r="V150" s="34"/>
    </row>
    <row r="151" spans="4:22" s="2" customFormat="1" ht="27" customHeight="1" x14ac:dyDescent="0.3">
      <c r="D151" s="23"/>
      <c r="O151" s="98"/>
      <c r="U151" s="34"/>
      <c r="V151" s="34"/>
    </row>
    <row r="152" spans="4:22" s="2" customFormat="1" ht="27" customHeight="1" x14ac:dyDescent="0.3">
      <c r="D152" s="23"/>
      <c r="O152" s="98"/>
      <c r="U152" s="34"/>
      <c r="V152" s="34"/>
    </row>
    <row r="153" spans="4:22" s="2" customFormat="1" ht="27" customHeight="1" x14ac:dyDescent="0.3">
      <c r="D153" s="23"/>
      <c r="O153" s="98"/>
      <c r="U153" s="34"/>
      <c r="V153" s="34"/>
    </row>
    <row r="154" spans="4:22" s="2" customFormat="1" ht="27" customHeight="1" x14ac:dyDescent="0.3">
      <c r="D154" s="23"/>
      <c r="O154" s="98"/>
      <c r="U154" s="34"/>
      <c r="V154" s="34"/>
    </row>
    <row r="155" spans="4:22" s="2" customFormat="1" ht="27" customHeight="1" x14ac:dyDescent="0.3">
      <c r="D155" s="23"/>
      <c r="O155" s="98"/>
      <c r="U155" s="34"/>
      <c r="V155" s="34"/>
    </row>
    <row r="156" spans="4:22" s="2" customFormat="1" ht="27" customHeight="1" x14ac:dyDescent="0.3">
      <c r="D156" s="23"/>
      <c r="O156" s="98"/>
      <c r="U156" s="34"/>
      <c r="V156" s="34"/>
    </row>
    <row r="157" spans="4:22" s="2" customFormat="1" ht="27" customHeight="1" x14ac:dyDescent="0.3">
      <c r="D157" s="23"/>
      <c r="O157" s="98"/>
      <c r="U157" s="34"/>
      <c r="V157" s="34"/>
    </row>
    <row r="158" spans="4:22" s="2" customFormat="1" ht="27" customHeight="1" x14ac:dyDescent="0.3">
      <c r="D158" s="23"/>
      <c r="O158" s="98"/>
      <c r="U158" s="34"/>
      <c r="V158" s="34"/>
    </row>
    <row r="159" spans="4:22" s="2" customFormat="1" ht="27" customHeight="1" x14ac:dyDescent="0.3">
      <c r="D159" s="23"/>
      <c r="O159" s="98"/>
      <c r="U159" s="34"/>
      <c r="V159" s="34"/>
    </row>
    <row r="160" spans="4:22" s="2" customFormat="1" ht="27" customHeight="1" x14ac:dyDescent="0.3">
      <c r="D160" s="23"/>
      <c r="O160" s="98"/>
      <c r="U160" s="34"/>
      <c r="V160" s="34"/>
    </row>
    <row r="161" spans="4:22" s="2" customFormat="1" ht="27" customHeight="1" x14ac:dyDescent="0.3">
      <c r="D161" s="23"/>
      <c r="O161" s="98"/>
      <c r="U161" s="34"/>
      <c r="V161" s="34"/>
    </row>
    <row r="162" spans="4:22" s="2" customFormat="1" ht="27" customHeight="1" x14ac:dyDescent="0.3">
      <c r="D162" s="23"/>
      <c r="O162" s="98"/>
      <c r="U162" s="34"/>
      <c r="V162" s="34"/>
    </row>
    <row r="163" spans="4:22" s="2" customFormat="1" ht="27" customHeight="1" x14ac:dyDescent="0.3">
      <c r="D163" s="23"/>
      <c r="O163" s="98"/>
      <c r="U163" s="34"/>
      <c r="V163" s="34"/>
    </row>
    <row r="164" spans="4:22" s="2" customFormat="1" ht="27" customHeight="1" x14ac:dyDescent="0.3">
      <c r="D164" s="23"/>
      <c r="O164" s="98"/>
      <c r="U164" s="34"/>
      <c r="V164" s="34"/>
    </row>
    <row r="165" spans="4:22" s="2" customFormat="1" ht="27" customHeight="1" x14ac:dyDescent="0.3">
      <c r="D165" s="23"/>
      <c r="O165" s="98"/>
      <c r="U165" s="34"/>
      <c r="V165" s="34"/>
    </row>
    <row r="166" spans="4:22" s="2" customFormat="1" ht="27" customHeight="1" x14ac:dyDescent="0.3">
      <c r="D166" s="23"/>
      <c r="O166" s="98"/>
      <c r="U166" s="34"/>
      <c r="V166" s="34"/>
    </row>
    <row r="167" spans="4:22" s="2" customFormat="1" ht="27" customHeight="1" x14ac:dyDescent="0.3">
      <c r="D167" s="23"/>
      <c r="O167" s="98"/>
      <c r="U167" s="34"/>
      <c r="V167" s="34"/>
    </row>
    <row r="168" spans="4:22" s="2" customFormat="1" ht="27" customHeight="1" x14ac:dyDescent="0.3">
      <c r="D168" s="23"/>
      <c r="O168" s="98"/>
      <c r="U168" s="34"/>
      <c r="V168" s="34"/>
    </row>
    <row r="169" spans="4:22" s="2" customFormat="1" ht="27" customHeight="1" x14ac:dyDescent="0.3">
      <c r="D169" s="23"/>
      <c r="O169" s="98"/>
      <c r="U169" s="34"/>
      <c r="V169" s="34"/>
    </row>
    <row r="170" spans="4:22" s="2" customFormat="1" ht="27" customHeight="1" x14ac:dyDescent="0.3">
      <c r="D170" s="23"/>
      <c r="O170" s="98"/>
      <c r="U170" s="34"/>
      <c r="V170" s="34"/>
    </row>
    <row r="171" spans="4:22" s="2" customFormat="1" ht="27" customHeight="1" x14ac:dyDescent="0.3">
      <c r="D171" s="23"/>
      <c r="O171" s="98"/>
      <c r="U171" s="34"/>
      <c r="V171" s="34"/>
    </row>
    <row r="172" spans="4:22" s="2" customFormat="1" ht="27" customHeight="1" x14ac:dyDescent="0.3">
      <c r="D172" s="23"/>
      <c r="O172" s="98"/>
      <c r="U172" s="34"/>
      <c r="V172" s="34"/>
    </row>
    <row r="173" spans="4:22" s="2" customFormat="1" ht="27" customHeight="1" x14ac:dyDescent="0.3">
      <c r="D173" s="23"/>
      <c r="O173" s="98"/>
      <c r="U173" s="34"/>
      <c r="V173" s="34"/>
    </row>
    <row r="174" spans="4:22" s="2" customFormat="1" ht="27" customHeight="1" x14ac:dyDescent="0.3">
      <c r="D174" s="23"/>
      <c r="O174" s="98"/>
      <c r="U174" s="34"/>
      <c r="V174" s="34"/>
    </row>
    <row r="175" spans="4:22" s="2" customFormat="1" ht="27" customHeight="1" x14ac:dyDescent="0.3">
      <c r="D175" s="23"/>
      <c r="O175" s="98"/>
      <c r="U175" s="34"/>
      <c r="V175" s="34"/>
    </row>
    <row r="176" spans="4:22" s="2" customFormat="1" ht="27" customHeight="1" x14ac:dyDescent="0.3">
      <c r="D176" s="23"/>
      <c r="O176" s="98"/>
      <c r="U176" s="34"/>
      <c r="V176" s="34"/>
    </row>
    <row r="177" spans="4:22" s="2" customFormat="1" ht="27" customHeight="1" x14ac:dyDescent="0.3">
      <c r="D177" s="23"/>
      <c r="O177" s="98"/>
      <c r="U177" s="34"/>
      <c r="V177" s="34"/>
    </row>
    <row r="178" spans="4:22" s="2" customFormat="1" ht="27" customHeight="1" x14ac:dyDescent="0.3">
      <c r="D178" s="23"/>
      <c r="O178" s="98"/>
      <c r="U178" s="34"/>
      <c r="V178" s="34"/>
    </row>
    <row r="179" spans="4:22" s="2" customFormat="1" ht="27" customHeight="1" x14ac:dyDescent="0.3">
      <c r="D179" s="23"/>
      <c r="O179" s="98"/>
      <c r="U179" s="34"/>
      <c r="V179" s="34"/>
    </row>
    <row r="180" spans="4:22" s="2" customFormat="1" ht="27" customHeight="1" x14ac:dyDescent="0.3">
      <c r="D180" s="23"/>
      <c r="O180" s="98"/>
      <c r="U180" s="34"/>
      <c r="V180" s="34"/>
    </row>
    <row r="181" spans="4:22" s="2" customFormat="1" ht="27" customHeight="1" x14ac:dyDescent="0.3">
      <c r="D181" s="23"/>
      <c r="O181" s="98"/>
      <c r="U181" s="34"/>
      <c r="V181" s="34"/>
    </row>
    <row r="182" spans="4:22" s="2" customFormat="1" ht="27" customHeight="1" x14ac:dyDescent="0.3">
      <c r="D182" s="23"/>
      <c r="O182" s="98"/>
      <c r="U182" s="34"/>
      <c r="V182" s="34"/>
    </row>
    <row r="183" spans="4:22" s="2" customFormat="1" ht="27" customHeight="1" x14ac:dyDescent="0.3">
      <c r="D183" s="23"/>
      <c r="O183" s="98"/>
      <c r="U183" s="34"/>
      <c r="V183" s="34"/>
    </row>
    <row r="184" spans="4:22" s="2" customFormat="1" ht="27" customHeight="1" x14ac:dyDescent="0.3">
      <c r="D184" s="23"/>
      <c r="O184" s="98"/>
      <c r="U184" s="34"/>
      <c r="V184" s="34"/>
    </row>
    <row r="185" spans="4:22" s="2" customFormat="1" ht="27" customHeight="1" x14ac:dyDescent="0.3">
      <c r="D185" s="23"/>
      <c r="O185" s="98"/>
      <c r="U185" s="34"/>
      <c r="V185" s="34"/>
    </row>
    <row r="186" spans="4:22" s="2" customFormat="1" ht="27" customHeight="1" x14ac:dyDescent="0.3">
      <c r="D186" s="23"/>
      <c r="O186" s="98"/>
      <c r="U186" s="34"/>
      <c r="V186" s="34"/>
    </row>
    <row r="187" spans="4:22" s="2" customFormat="1" ht="27" customHeight="1" x14ac:dyDescent="0.3">
      <c r="D187" s="23"/>
      <c r="O187" s="98"/>
      <c r="U187" s="34"/>
      <c r="V187" s="34"/>
    </row>
    <row r="188" spans="4:22" s="2" customFormat="1" ht="27" customHeight="1" x14ac:dyDescent="0.3">
      <c r="D188" s="23"/>
      <c r="O188" s="98"/>
      <c r="U188" s="34"/>
      <c r="V188" s="34"/>
    </row>
    <row r="189" spans="4:22" s="2" customFormat="1" ht="27" customHeight="1" x14ac:dyDescent="0.3">
      <c r="D189" s="23"/>
      <c r="O189" s="98"/>
      <c r="U189" s="34"/>
      <c r="V189" s="34"/>
    </row>
    <row r="190" spans="4:22" s="2" customFormat="1" ht="27" customHeight="1" x14ac:dyDescent="0.3">
      <c r="D190" s="23"/>
      <c r="O190" s="98"/>
      <c r="U190" s="34"/>
      <c r="V190" s="34"/>
    </row>
    <row r="191" spans="4:22" s="2" customFormat="1" ht="27" customHeight="1" x14ac:dyDescent="0.3">
      <c r="D191" s="23"/>
      <c r="O191" s="98"/>
      <c r="U191" s="34"/>
      <c r="V191" s="34"/>
    </row>
    <row r="192" spans="4:22" s="2" customFormat="1" ht="27" customHeight="1" x14ac:dyDescent="0.3">
      <c r="D192" s="23"/>
      <c r="O192" s="98"/>
      <c r="U192" s="34"/>
      <c r="V192" s="34"/>
    </row>
    <row r="193" spans="4:22" s="2" customFormat="1" ht="27" customHeight="1" x14ac:dyDescent="0.3">
      <c r="D193" s="23"/>
      <c r="O193" s="98"/>
      <c r="U193" s="34"/>
      <c r="V193" s="34"/>
    </row>
    <row r="194" spans="4:22" s="2" customFormat="1" ht="27" customHeight="1" x14ac:dyDescent="0.3">
      <c r="D194" s="23"/>
      <c r="O194" s="98"/>
      <c r="U194" s="34"/>
      <c r="V194" s="34"/>
    </row>
    <row r="195" spans="4:22" s="2" customFormat="1" ht="27" customHeight="1" x14ac:dyDescent="0.3">
      <c r="D195" s="23"/>
      <c r="O195" s="98"/>
      <c r="U195" s="34"/>
      <c r="V195" s="34"/>
    </row>
    <row r="196" spans="4:22" s="2" customFormat="1" ht="27" customHeight="1" x14ac:dyDescent="0.3">
      <c r="D196" s="23"/>
      <c r="O196" s="98"/>
      <c r="U196" s="34"/>
      <c r="V196" s="34"/>
    </row>
    <row r="197" spans="4:22" s="2" customFormat="1" ht="27" customHeight="1" x14ac:dyDescent="0.3">
      <c r="D197" s="23"/>
      <c r="O197" s="98"/>
      <c r="U197" s="34"/>
      <c r="V197" s="34"/>
    </row>
    <row r="198" spans="4:22" s="2" customFormat="1" ht="27" customHeight="1" x14ac:dyDescent="0.3">
      <c r="D198" s="23"/>
      <c r="O198" s="98"/>
      <c r="U198" s="34"/>
      <c r="V198" s="34"/>
    </row>
    <row r="199" spans="4:22" s="2" customFormat="1" ht="27" customHeight="1" x14ac:dyDescent="0.3">
      <c r="D199" s="23"/>
      <c r="O199" s="98"/>
      <c r="U199" s="34"/>
      <c r="V199" s="34"/>
    </row>
    <row r="200" spans="4:22" s="2" customFormat="1" ht="27" customHeight="1" x14ac:dyDescent="0.3">
      <c r="D200" s="23"/>
      <c r="O200" s="98"/>
      <c r="U200" s="34"/>
      <c r="V200" s="34"/>
    </row>
    <row r="201" spans="4:22" s="2" customFormat="1" ht="27" customHeight="1" x14ac:dyDescent="0.3">
      <c r="D201" s="23"/>
      <c r="O201" s="98"/>
      <c r="U201" s="34"/>
      <c r="V201" s="34"/>
    </row>
    <row r="202" spans="4:22" s="2" customFormat="1" ht="27" customHeight="1" x14ac:dyDescent="0.3">
      <c r="D202" s="23"/>
      <c r="O202" s="98"/>
      <c r="U202" s="34"/>
      <c r="V202" s="34"/>
    </row>
    <row r="203" spans="4:22" s="2" customFormat="1" ht="27" customHeight="1" x14ac:dyDescent="0.3">
      <c r="D203" s="23"/>
      <c r="O203" s="98"/>
      <c r="U203" s="34"/>
      <c r="V203" s="34"/>
    </row>
    <row r="204" spans="4:22" s="2" customFormat="1" ht="27" customHeight="1" x14ac:dyDescent="0.3">
      <c r="D204" s="23"/>
      <c r="O204" s="98"/>
      <c r="U204" s="34"/>
      <c r="V204" s="34"/>
    </row>
    <row r="205" spans="4:22" s="2" customFormat="1" ht="27" customHeight="1" x14ac:dyDescent="0.3">
      <c r="D205" s="23"/>
      <c r="O205" s="98"/>
      <c r="U205" s="34"/>
      <c r="V205" s="34"/>
    </row>
    <row r="206" spans="4:22" s="2" customFormat="1" ht="27" customHeight="1" x14ac:dyDescent="0.3">
      <c r="D206" s="23"/>
      <c r="O206" s="98"/>
      <c r="U206" s="34"/>
      <c r="V206" s="34"/>
    </row>
    <row r="207" spans="4:22" s="2" customFormat="1" ht="27" customHeight="1" x14ac:dyDescent="0.3">
      <c r="D207" s="23"/>
      <c r="O207" s="98"/>
      <c r="U207" s="34"/>
      <c r="V207" s="34"/>
    </row>
    <row r="208" spans="4:22" s="2" customFormat="1" ht="27" customHeight="1" x14ac:dyDescent="0.3">
      <c r="D208" s="23"/>
      <c r="O208" s="98"/>
      <c r="U208" s="34"/>
      <c r="V208" s="34"/>
    </row>
    <row r="209" spans="4:22" s="2" customFormat="1" ht="27" customHeight="1" x14ac:dyDescent="0.3">
      <c r="D209" s="23"/>
      <c r="O209" s="98"/>
      <c r="U209" s="34"/>
      <c r="V209" s="34"/>
    </row>
    <row r="210" spans="4:22" s="2" customFormat="1" ht="27" customHeight="1" x14ac:dyDescent="0.3">
      <c r="D210" s="23"/>
      <c r="O210" s="98"/>
      <c r="U210" s="34"/>
      <c r="V210" s="34"/>
    </row>
    <row r="211" spans="4:22" s="2" customFormat="1" ht="27" customHeight="1" x14ac:dyDescent="0.3">
      <c r="D211" s="23"/>
      <c r="O211" s="98"/>
      <c r="U211" s="34"/>
      <c r="V211" s="34"/>
    </row>
    <row r="212" spans="4:22" s="2" customFormat="1" ht="27" customHeight="1" x14ac:dyDescent="0.3">
      <c r="D212" s="23"/>
      <c r="O212" s="98"/>
      <c r="U212" s="34"/>
      <c r="V212" s="34"/>
    </row>
    <row r="213" spans="4:22" s="2" customFormat="1" ht="27" customHeight="1" x14ac:dyDescent="0.3">
      <c r="D213" s="23"/>
      <c r="O213" s="98"/>
      <c r="U213" s="34"/>
      <c r="V213" s="34"/>
    </row>
    <row r="214" spans="4:22" s="2" customFormat="1" ht="27" customHeight="1" x14ac:dyDescent="0.3">
      <c r="D214" s="23"/>
      <c r="O214" s="98"/>
      <c r="U214" s="34"/>
      <c r="V214" s="34"/>
    </row>
    <row r="215" spans="4:22" s="2" customFormat="1" ht="27" customHeight="1" x14ac:dyDescent="0.3">
      <c r="D215" s="23"/>
      <c r="O215" s="98"/>
      <c r="U215" s="34"/>
      <c r="V215" s="34"/>
    </row>
    <row r="216" spans="4:22" s="2" customFormat="1" ht="27" customHeight="1" x14ac:dyDescent="0.3">
      <c r="D216" s="23"/>
      <c r="O216" s="98"/>
      <c r="U216" s="34"/>
      <c r="V216" s="34"/>
    </row>
    <row r="217" spans="4:22" s="2" customFormat="1" ht="27" customHeight="1" x14ac:dyDescent="0.3">
      <c r="D217" s="23"/>
      <c r="O217" s="98"/>
      <c r="U217" s="34"/>
      <c r="V217" s="34"/>
    </row>
    <row r="218" spans="4:22" s="2" customFormat="1" ht="27" customHeight="1" x14ac:dyDescent="0.3">
      <c r="D218" s="23"/>
      <c r="O218" s="98"/>
      <c r="U218" s="34"/>
      <c r="V218" s="34"/>
    </row>
    <row r="219" spans="4:22" s="2" customFormat="1" ht="27" customHeight="1" x14ac:dyDescent="0.3">
      <c r="D219" s="23"/>
      <c r="O219" s="98"/>
      <c r="U219" s="34"/>
      <c r="V219" s="34"/>
    </row>
    <row r="220" spans="4:22" s="2" customFormat="1" ht="27" customHeight="1" x14ac:dyDescent="0.3">
      <c r="D220" s="23"/>
      <c r="O220" s="98"/>
      <c r="U220" s="34"/>
      <c r="V220" s="34"/>
    </row>
    <row r="221" spans="4:22" s="2" customFormat="1" ht="27" customHeight="1" x14ac:dyDescent="0.3">
      <c r="D221" s="23"/>
      <c r="O221" s="98"/>
      <c r="U221" s="34"/>
      <c r="V221" s="34"/>
    </row>
    <row r="222" spans="4:22" s="2" customFormat="1" ht="27" customHeight="1" x14ac:dyDescent="0.3">
      <c r="D222" s="23"/>
      <c r="O222" s="98"/>
      <c r="U222" s="34"/>
      <c r="V222" s="34"/>
    </row>
    <row r="223" spans="4:22" s="2" customFormat="1" ht="27" customHeight="1" x14ac:dyDescent="0.3">
      <c r="D223" s="23"/>
      <c r="O223" s="98"/>
      <c r="U223" s="34"/>
      <c r="V223" s="34"/>
    </row>
    <row r="224" spans="4:22" s="2" customFormat="1" ht="27" customHeight="1" x14ac:dyDescent="0.3">
      <c r="D224" s="23"/>
      <c r="O224" s="98"/>
      <c r="U224" s="34"/>
      <c r="V224" s="34"/>
    </row>
    <row r="225" spans="4:22" s="2" customFormat="1" ht="27" customHeight="1" x14ac:dyDescent="0.3">
      <c r="D225" s="23"/>
      <c r="O225" s="98"/>
      <c r="U225" s="34"/>
      <c r="V225" s="34"/>
    </row>
    <row r="226" spans="4:22" s="2" customFormat="1" ht="27" customHeight="1" x14ac:dyDescent="0.3">
      <c r="D226" s="23"/>
      <c r="O226" s="98"/>
      <c r="U226" s="34"/>
      <c r="V226" s="34"/>
    </row>
    <row r="227" spans="4:22" s="2" customFormat="1" ht="27" customHeight="1" x14ac:dyDescent="0.3">
      <c r="D227" s="23"/>
      <c r="O227" s="98"/>
      <c r="U227" s="34"/>
      <c r="V227" s="34"/>
    </row>
    <row r="228" spans="4:22" s="2" customFormat="1" ht="27" customHeight="1" x14ac:dyDescent="0.3">
      <c r="D228" s="23"/>
      <c r="O228" s="98"/>
      <c r="U228" s="34"/>
      <c r="V228" s="34"/>
    </row>
    <row r="229" spans="4:22" s="2" customFormat="1" ht="27" customHeight="1" x14ac:dyDescent="0.3">
      <c r="D229" s="23"/>
      <c r="O229" s="98"/>
      <c r="U229" s="34"/>
      <c r="V229" s="34"/>
    </row>
    <row r="230" spans="4:22" s="2" customFormat="1" ht="27" customHeight="1" x14ac:dyDescent="0.3">
      <c r="D230" s="23"/>
      <c r="O230" s="98"/>
      <c r="U230" s="34"/>
      <c r="V230" s="34"/>
    </row>
    <row r="231" spans="4:22" s="2" customFormat="1" ht="27" customHeight="1" x14ac:dyDescent="0.3">
      <c r="D231" s="23"/>
      <c r="O231" s="98"/>
      <c r="U231" s="34"/>
      <c r="V231" s="34"/>
    </row>
    <row r="232" spans="4:22" s="2" customFormat="1" ht="27" customHeight="1" x14ac:dyDescent="0.3">
      <c r="D232" s="23"/>
      <c r="O232" s="98"/>
      <c r="U232" s="34"/>
      <c r="V232" s="34"/>
    </row>
    <row r="233" spans="4:22" s="2" customFormat="1" ht="27" customHeight="1" x14ac:dyDescent="0.3">
      <c r="D233" s="23"/>
      <c r="O233" s="98"/>
      <c r="U233" s="34"/>
      <c r="V233" s="34"/>
    </row>
    <row r="234" spans="4:22" s="2" customFormat="1" ht="27" customHeight="1" x14ac:dyDescent="0.3">
      <c r="D234" s="23"/>
      <c r="O234" s="98"/>
      <c r="U234" s="34"/>
      <c r="V234" s="34"/>
    </row>
    <row r="235" spans="4:22" s="2" customFormat="1" ht="27" customHeight="1" x14ac:dyDescent="0.3">
      <c r="D235" s="23"/>
      <c r="O235" s="98"/>
      <c r="U235" s="34"/>
      <c r="V235" s="34"/>
    </row>
    <row r="236" spans="4:22" s="2" customFormat="1" ht="27" customHeight="1" x14ac:dyDescent="0.3">
      <c r="D236" s="23"/>
      <c r="O236" s="98"/>
      <c r="U236" s="34"/>
      <c r="V236" s="34"/>
    </row>
    <row r="237" spans="4:22" s="2" customFormat="1" ht="27" customHeight="1" x14ac:dyDescent="0.3">
      <c r="D237" s="23"/>
      <c r="O237" s="98"/>
      <c r="U237" s="34"/>
      <c r="V237" s="34"/>
    </row>
    <row r="238" spans="4:22" s="2" customFormat="1" ht="27" customHeight="1" x14ac:dyDescent="0.3">
      <c r="D238" s="23"/>
      <c r="O238" s="98"/>
      <c r="U238" s="34"/>
      <c r="V238" s="34"/>
    </row>
    <row r="239" spans="4:22" s="2" customFormat="1" ht="27" customHeight="1" x14ac:dyDescent="0.3">
      <c r="D239" s="23"/>
      <c r="O239" s="98"/>
      <c r="U239" s="34"/>
      <c r="V239" s="34"/>
    </row>
    <row r="240" spans="4:22" s="2" customFormat="1" ht="27" customHeight="1" x14ac:dyDescent="0.3">
      <c r="D240" s="23"/>
      <c r="O240" s="98"/>
      <c r="U240" s="34"/>
      <c r="V240" s="34"/>
    </row>
    <row r="241" spans="4:22" s="2" customFormat="1" ht="27" customHeight="1" x14ac:dyDescent="0.3">
      <c r="D241" s="23"/>
      <c r="O241" s="98"/>
      <c r="U241" s="34"/>
      <c r="V241" s="34"/>
    </row>
    <row r="242" spans="4:22" s="2" customFormat="1" ht="27" customHeight="1" x14ac:dyDescent="0.3">
      <c r="D242" s="23"/>
      <c r="O242" s="98"/>
      <c r="U242" s="34"/>
      <c r="V242" s="34"/>
    </row>
    <row r="243" spans="4:22" s="2" customFormat="1" ht="27" customHeight="1" x14ac:dyDescent="0.3">
      <c r="D243" s="23"/>
      <c r="O243" s="98"/>
      <c r="U243" s="34"/>
      <c r="V243" s="34"/>
    </row>
    <row r="244" spans="4:22" s="2" customFormat="1" ht="27" customHeight="1" x14ac:dyDescent="0.3">
      <c r="D244" s="23"/>
      <c r="O244" s="98"/>
      <c r="U244" s="34"/>
      <c r="V244" s="34"/>
    </row>
    <row r="245" spans="4:22" s="2" customFormat="1" ht="27" customHeight="1" x14ac:dyDescent="0.3">
      <c r="D245" s="23"/>
      <c r="O245" s="98"/>
      <c r="U245" s="34"/>
      <c r="V245" s="34"/>
    </row>
    <row r="246" spans="4:22" s="2" customFormat="1" ht="27" customHeight="1" x14ac:dyDescent="0.3">
      <c r="D246" s="23"/>
      <c r="O246" s="98"/>
      <c r="U246" s="34"/>
      <c r="V246" s="34"/>
    </row>
    <row r="247" spans="4:22" s="2" customFormat="1" ht="27" customHeight="1" x14ac:dyDescent="0.3">
      <c r="D247" s="23"/>
      <c r="O247" s="98"/>
      <c r="U247" s="34"/>
      <c r="V247" s="34"/>
    </row>
    <row r="248" spans="4:22" s="2" customFormat="1" ht="27" customHeight="1" x14ac:dyDescent="0.3">
      <c r="D248" s="23"/>
      <c r="O248" s="98"/>
      <c r="U248" s="34"/>
      <c r="V248" s="34"/>
    </row>
    <row r="249" spans="4:22" s="2" customFormat="1" ht="27" customHeight="1" x14ac:dyDescent="0.3">
      <c r="D249" s="23"/>
      <c r="O249" s="98"/>
      <c r="U249" s="34"/>
      <c r="V249" s="34"/>
    </row>
    <row r="250" spans="4:22" s="2" customFormat="1" ht="27" customHeight="1" x14ac:dyDescent="0.3">
      <c r="D250" s="23"/>
      <c r="O250" s="98"/>
      <c r="U250" s="34"/>
      <c r="V250" s="34"/>
    </row>
    <row r="251" spans="4:22" s="2" customFormat="1" ht="27" customHeight="1" x14ac:dyDescent="0.3">
      <c r="D251" s="23"/>
      <c r="O251" s="98"/>
      <c r="U251" s="34"/>
      <c r="V251" s="34"/>
    </row>
    <row r="252" spans="4:22" s="2" customFormat="1" ht="27" customHeight="1" x14ac:dyDescent="0.3">
      <c r="D252" s="23"/>
      <c r="O252" s="98"/>
      <c r="U252" s="34"/>
      <c r="V252" s="34"/>
    </row>
    <row r="253" spans="4:22" s="2" customFormat="1" ht="27" customHeight="1" x14ac:dyDescent="0.3">
      <c r="D253" s="23"/>
      <c r="O253" s="98"/>
      <c r="U253" s="34"/>
      <c r="V253" s="34"/>
    </row>
    <row r="254" spans="4:22" s="2" customFormat="1" ht="27" customHeight="1" x14ac:dyDescent="0.3">
      <c r="D254" s="23"/>
      <c r="O254" s="98"/>
      <c r="U254" s="34"/>
      <c r="V254" s="34"/>
    </row>
    <row r="255" spans="4:22" s="2" customFormat="1" ht="27" customHeight="1" x14ac:dyDescent="0.3">
      <c r="D255" s="23"/>
      <c r="O255" s="98"/>
      <c r="U255" s="34"/>
      <c r="V255" s="34"/>
    </row>
    <row r="256" spans="4:22" s="2" customFormat="1" ht="27" customHeight="1" x14ac:dyDescent="0.3">
      <c r="D256" s="23"/>
      <c r="O256" s="98"/>
      <c r="U256" s="34"/>
      <c r="V256" s="34"/>
    </row>
    <row r="257" spans="4:22" s="2" customFormat="1" ht="27" customHeight="1" x14ac:dyDescent="0.3">
      <c r="D257" s="23"/>
      <c r="O257" s="98"/>
      <c r="U257" s="34"/>
      <c r="V257" s="34"/>
    </row>
    <row r="258" spans="4:22" s="2" customFormat="1" ht="27" customHeight="1" x14ac:dyDescent="0.3">
      <c r="D258" s="23"/>
      <c r="O258" s="98"/>
      <c r="U258" s="34"/>
      <c r="V258" s="34"/>
    </row>
    <row r="259" spans="4:22" s="2" customFormat="1" ht="27" customHeight="1" x14ac:dyDescent="0.3">
      <c r="D259" s="23"/>
      <c r="O259" s="98"/>
      <c r="U259" s="34"/>
      <c r="V259" s="34"/>
    </row>
    <row r="260" spans="4:22" s="2" customFormat="1" ht="27" customHeight="1" x14ac:dyDescent="0.3">
      <c r="D260" s="23"/>
      <c r="O260" s="98"/>
      <c r="U260" s="34"/>
      <c r="V260" s="34"/>
    </row>
    <row r="261" spans="4:22" s="2" customFormat="1" ht="27" customHeight="1" x14ac:dyDescent="0.3">
      <c r="D261" s="23"/>
      <c r="O261" s="98"/>
      <c r="U261" s="34"/>
      <c r="V261" s="34"/>
    </row>
    <row r="262" spans="4:22" s="2" customFormat="1" ht="27" customHeight="1" x14ac:dyDescent="0.3">
      <c r="D262" s="23"/>
      <c r="O262" s="98"/>
      <c r="U262" s="34"/>
      <c r="V262" s="34"/>
    </row>
    <row r="263" spans="4:22" s="2" customFormat="1" ht="27" customHeight="1" x14ac:dyDescent="0.3">
      <c r="D263" s="23"/>
      <c r="O263" s="98"/>
      <c r="U263" s="34"/>
      <c r="V263" s="34"/>
    </row>
    <row r="264" spans="4:22" s="2" customFormat="1" ht="27" customHeight="1" x14ac:dyDescent="0.3">
      <c r="D264" s="23"/>
      <c r="O264" s="98"/>
      <c r="U264" s="34"/>
      <c r="V264" s="34"/>
    </row>
    <row r="265" spans="4:22" s="2" customFormat="1" ht="27" customHeight="1" x14ac:dyDescent="0.3">
      <c r="D265" s="23"/>
      <c r="O265" s="98"/>
      <c r="U265" s="34"/>
      <c r="V265" s="34"/>
    </row>
    <row r="266" spans="4:22" s="2" customFormat="1" ht="27" customHeight="1" x14ac:dyDescent="0.3">
      <c r="D266" s="23"/>
      <c r="O266" s="98"/>
      <c r="U266" s="34"/>
      <c r="V266" s="34"/>
    </row>
    <row r="267" spans="4:22" s="2" customFormat="1" ht="27" customHeight="1" x14ac:dyDescent="0.3">
      <c r="D267" s="23"/>
      <c r="O267" s="98"/>
      <c r="U267" s="34"/>
      <c r="V267" s="34"/>
    </row>
    <row r="268" spans="4:22" s="2" customFormat="1" ht="27" customHeight="1" x14ac:dyDescent="0.3">
      <c r="D268" s="23"/>
      <c r="O268" s="98"/>
      <c r="U268" s="34"/>
      <c r="V268" s="34"/>
    </row>
    <row r="269" spans="4:22" s="2" customFormat="1" ht="27" customHeight="1" x14ac:dyDescent="0.3">
      <c r="D269" s="23"/>
      <c r="O269" s="98"/>
      <c r="U269" s="34"/>
      <c r="V269" s="34"/>
    </row>
    <row r="270" spans="4:22" s="2" customFormat="1" ht="27" customHeight="1" x14ac:dyDescent="0.3">
      <c r="D270" s="23"/>
      <c r="O270" s="98"/>
      <c r="U270" s="34"/>
      <c r="V270" s="34"/>
    </row>
    <row r="271" spans="4:22" s="2" customFormat="1" ht="27" customHeight="1" x14ac:dyDescent="0.3">
      <c r="D271" s="23"/>
      <c r="O271" s="98"/>
      <c r="U271" s="34"/>
      <c r="V271" s="34"/>
    </row>
    <row r="272" spans="4:22" s="2" customFormat="1" ht="27" customHeight="1" x14ac:dyDescent="0.3">
      <c r="D272" s="23"/>
      <c r="O272" s="98"/>
      <c r="U272" s="34"/>
      <c r="V272" s="34"/>
    </row>
    <row r="273" spans="4:22" s="2" customFormat="1" ht="27" customHeight="1" x14ac:dyDescent="0.3">
      <c r="D273" s="23"/>
      <c r="O273" s="98"/>
      <c r="U273" s="34"/>
      <c r="V273" s="34"/>
    </row>
    <row r="274" spans="4:22" s="2" customFormat="1" ht="27" customHeight="1" x14ac:dyDescent="0.3">
      <c r="D274" s="23"/>
      <c r="O274" s="98"/>
      <c r="U274" s="34"/>
      <c r="V274" s="34"/>
    </row>
    <row r="275" spans="4:22" s="2" customFormat="1" ht="27" customHeight="1" x14ac:dyDescent="0.3">
      <c r="D275" s="23"/>
      <c r="O275" s="98"/>
      <c r="U275" s="34"/>
      <c r="V275" s="34"/>
    </row>
    <row r="276" spans="4:22" s="2" customFormat="1" ht="27" customHeight="1" x14ac:dyDescent="0.3">
      <c r="D276" s="23"/>
      <c r="O276" s="98"/>
      <c r="U276" s="34"/>
      <c r="V276" s="34"/>
    </row>
    <row r="277" spans="4:22" s="2" customFormat="1" ht="27" customHeight="1" x14ac:dyDescent="0.3">
      <c r="D277" s="23"/>
      <c r="O277" s="98"/>
      <c r="U277" s="34"/>
      <c r="V277" s="34"/>
    </row>
    <row r="278" spans="4:22" s="2" customFormat="1" ht="27" customHeight="1" x14ac:dyDescent="0.3">
      <c r="D278" s="23"/>
      <c r="O278" s="98"/>
      <c r="U278" s="34"/>
      <c r="V278" s="34"/>
    </row>
    <row r="279" spans="4:22" s="2" customFormat="1" ht="27" customHeight="1" x14ac:dyDescent="0.3">
      <c r="D279" s="23"/>
      <c r="O279" s="98"/>
      <c r="U279" s="34"/>
      <c r="V279" s="34"/>
    </row>
    <row r="280" spans="4:22" s="2" customFormat="1" ht="27" customHeight="1" x14ac:dyDescent="0.3">
      <c r="D280" s="23"/>
      <c r="O280" s="98"/>
      <c r="U280" s="34"/>
      <c r="V280" s="34"/>
    </row>
    <row r="281" spans="4:22" s="2" customFormat="1" ht="27" customHeight="1" x14ac:dyDescent="0.3">
      <c r="D281" s="23"/>
      <c r="O281" s="98"/>
      <c r="U281" s="34"/>
      <c r="V281" s="34"/>
    </row>
    <row r="282" spans="4:22" s="2" customFormat="1" ht="27" customHeight="1" x14ac:dyDescent="0.3">
      <c r="D282" s="23"/>
      <c r="O282" s="98"/>
      <c r="U282" s="34"/>
      <c r="V282" s="34"/>
    </row>
    <row r="283" spans="4:22" s="2" customFormat="1" ht="27" customHeight="1" x14ac:dyDescent="0.3">
      <c r="D283" s="23"/>
      <c r="O283" s="98"/>
      <c r="U283" s="34"/>
      <c r="V283" s="34"/>
    </row>
    <row r="284" spans="4:22" s="2" customFormat="1" ht="27" customHeight="1" x14ac:dyDescent="0.3">
      <c r="D284" s="23"/>
      <c r="O284" s="98"/>
      <c r="U284" s="34"/>
      <c r="V284" s="34"/>
    </row>
    <row r="285" spans="4:22" s="2" customFormat="1" ht="27" customHeight="1" x14ac:dyDescent="0.3">
      <c r="D285" s="23"/>
      <c r="O285" s="98"/>
      <c r="U285" s="34"/>
      <c r="V285" s="34"/>
    </row>
    <row r="286" spans="4:22" s="2" customFormat="1" ht="27" customHeight="1" x14ac:dyDescent="0.3">
      <c r="D286" s="23"/>
      <c r="O286" s="98"/>
      <c r="U286" s="34"/>
      <c r="V286" s="34"/>
    </row>
    <row r="287" spans="4:22" s="2" customFormat="1" ht="27" customHeight="1" x14ac:dyDescent="0.3">
      <c r="D287" s="23"/>
      <c r="O287" s="98"/>
      <c r="U287" s="34"/>
      <c r="V287" s="34"/>
    </row>
    <row r="288" spans="4:22" s="2" customFormat="1" ht="27" customHeight="1" x14ac:dyDescent="0.3">
      <c r="D288" s="23"/>
      <c r="O288" s="98"/>
      <c r="U288" s="34"/>
      <c r="V288" s="34"/>
    </row>
    <row r="289" spans="4:22" s="2" customFormat="1" ht="27" customHeight="1" x14ac:dyDescent="0.3">
      <c r="D289" s="23"/>
      <c r="O289" s="98"/>
      <c r="U289" s="34"/>
      <c r="V289" s="34"/>
    </row>
    <row r="290" spans="4:22" s="2" customFormat="1" ht="27" customHeight="1" x14ac:dyDescent="0.3">
      <c r="D290" s="23"/>
      <c r="O290" s="98"/>
      <c r="U290" s="34"/>
      <c r="V290" s="34"/>
    </row>
    <row r="291" spans="4:22" s="2" customFormat="1" ht="27" customHeight="1" x14ac:dyDescent="0.3">
      <c r="D291" s="23"/>
      <c r="O291" s="98"/>
      <c r="U291" s="34"/>
      <c r="V291" s="34"/>
    </row>
    <row r="292" spans="4:22" s="2" customFormat="1" ht="27" customHeight="1" x14ac:dyDescent="0.3">
      <c r="D292" s="23"/>
      <c r="O292" s="98"/>
      <c r="U292" s="34"/>
      <c r="V292" s="34"/>
    </row>
    <row r="293" spans="4:22" s="2" customFormat="1" ht="27" customHeight="1" x14ac:dyDescent="0.3">
      <c r="D293" s="23"/>
      <c r="O293" s="98"/>
      <c r="U293" s="34"/>
      <c r="V293" s="34"/>
    </row>
    <row r="294" spans="4:22" s="2" customFormat="1" ht="27" customHeight="1" x14ac:dyDescent="0.3">
      <c r="D294" s="23"/>
      <c r="O294" s="98"/>
      <c r="U294" s="34"/>
      <c r="V294" s="34"/>
    </row>
    <row r="295" spans="4:22" s="2" customFormat="1" ht="27" customHeight="1" x14ac:dyDescent="0.3">
      <c r="D295" s="23"/>
      <c r="O295" s="98"/>
      <c r="U295" s="34"/>
      <c r="V295" s="34"/>
    </row>
    <row r="296" spans="4:22" s="2" customFormat="1" ht="27" customHeight="1" x14ac:dyDescent="0.3">
      <c r="D296" s="23"/>
      <c r="O296" s="98"/>
      <c r="U296" s="34"/>
      <c r="V296" s="34"/>
    </row>
    <row r="297" spans="4:22" s="2" customFormat="1" ht="27" customHeight="1" x14ac:dyDescent="0.3">
      <c r="D297" s="23"/>
      <c r="O297" s="98"/>
      <c r="U297" s="34"/>
      <c r="V297" s="34"/>
    </row>
    <row r="298" spans="4:22" s="2" customFormat="1" ht="27" customHeight="1" x14ac:dyDescent="0.3">
      <c r="D298" s="23"/>
      <c r="O298" s="98"/>
      <c r="U298" s="34"/>
      <c r="V298" s="34"/>
    </row>
    <row r="299" spans="4:22" s="2" customFormat="1" ht="27" customHeight="1" x14ac:dyDescent="0.3">
      <c r="D299" s="23"/>
      <c r="O299" s="98"/>
      <c r="U299" s="34"/>
      <c r="V299" s="34"/>
    </row>
    <row r="300" spans="4:22" s="2" customFormat="1" ht="27" customHeight="1" x14ac:dyDescent="0.3">
      <c r="D300" s="23"/>
      <c r="O300" s="98"/>
      <c r="U300" s="34"/>
      <c r="V300" s="34"/>
    </row>
    <row r="301" spans="4:22" s="2" customFormat="1" ht="27" customHeight="1" x14ac:dyDescent="0.3">
      <c r="D301" s="23"/>
      <c r="O301" s="98"/>
      <c r="U301" s="34"/>
      <c r="V301" s="34"/>
    </row>
    <row r="302" spans="4:22" s="2" customFormat="1" ht="27" customHeight="1" x14ac:dyDescent="0.3">
      <c r="D302" s="23"/>
      <c r="O302" s="98"/>
      <c r="U302" s="34"/>
      <c r="V302" s="34"/>
    </row>
    <row r="303" spans="4:22" s="2" customFormat="1" ht="27" customHeight="1" x14ac:dyDescent="0.3">
      <c r="D303" s="23"/>
      <c r="O303" s="98"/>
      <c r="U303" s="34"/>
      <c r="V303" s="34"/>
    </row>
    <row r="304" spans="4:22" s="2" customFormat="1" ht="27" customHeight="1" x14ac:dyDescent="0.3">
      <c r="D304" s="23"/>
      <c r="O304" s="98"/>
      <c r="U304" s="34"/>
      <c r="V304" s="34"/>
    </row>
    <row r="305" spans="4:22" s="2" customFormat="1" ht="27" customHeight="1" x14ac:dyDescent="0.3">
      <c r="D305" s="23"/>
      <c r="O305" s="98"/>
      <c r="U305" s="34"/>
      <c r="V305" s="34"/>
    </row>
    <row r="306" spans="4:22" s="2" customFormat="1" ht="27" customHeight="1" x14ac:dyDescent="0.3">
      <c r="D306" s="23"/>
      <c r="O306" s="98"/>
      <c r="U306" s="34"/>
      <c r="V306" s="34"/>
    </row>
    <row r="307" spans="4:22" s="2" customFormat="1" ht="27" customHeight="1" x14ac:dyDescent="0.3">
      <c r="D307" s="23"/>
      <c r="O307" s="98"/>
      <c r="U307" s="34"/>
      <c r="V307" s="34"/>
    </row>
    <row r="308" spans="4:22" s="2" customFormat="1" ht="27" customHeight="1" x14ac:dyDescent="0.3">
      <c r="D308" s="23"/>
      <c r="O308" s="98"/>
      <c r="U308" s="34"/>
      <c r="V308" s="34"/>
    </row>
    <row r="309" spans="4:22" s="2" customFormat="1" ht="27" customHeight="1" x14ac:dyDescent="0.3">
      <c r="D309" s="23"/>
      <c r="O309" s="98"/>
      <c r="U309" s="34"/>
      <c r="V309" s="34"/>
    </row>
    <row r="310" spans="4:22" s="2" customFormat="1" ht="27" customHeight="1" x14ac:dyDescent="0.3">
      <c r="D310" s="23"/>
      <c r="O310" s="98"/>
      <c r="U310" s="34"/>
      <c r="V310" s="34"/>
    </row>
    <row r="311" spans="4:22" s="2" customFormat="1" ht="27" customHeight="1" x14ac:dyDescent="0.3">
      <c r="D311" s="23"/>
      <c r="O311" s="98"/>
      <c r="U311" s="34"/>
      <c r="V311" s="34"/>
    </row>
    <row r="312" spans="4:22" s="2" customFormat="1" ht="27" customHeight="1" x14ac:dyDescent="0.3">
      <c r="D312" s="23"/>
      <c r="O312" s="98"/>
      <c r="U312" s="34"/>
      <c r="V312" s="34"/>
    </row>
    <row r="313" spans="4:22" s="2" customFormat="1" ht="27" customHeight="1" x14ac:dyDescent="0.3">
      <c r="D313" s="23"/>
      <c r="O313" s="98"/>
      <c r="U313" s="34"/>
      <c r="V313" s="34"/>
    </row>
    <row r="314" spans="4:22" s="2" customFormat="1" ht="27" customHeight="1" x14ac:dyDescent="0.3">
      <c r="D314" s="23"/>
      <c r="O314" s="98"/>
      <c r="U314" s="34"/>
      <c r="V314" s="34"/>
    </row>
    <row r="315" spans="4:22" s="2" customFormat="1" ht="27" customHeight="1" x14ac:dyDescent="0.3">
      <c r="D315" s="23"/>
      <c r="O315" s="98"/>
      <c r="U315" s="34"/>
      <c r="V315" s="34"/>
    </row>
    <row r="316" spans="4:22" s="2" customFormat="1" ht="27" customHeight="1" x14ac:dyDescent="0.3">
      <c r="D316" s="23"/>
      <c r="O316" s="98"/>
      <c r="U316" s="34"/>
      <c r="V316" s="34"/>
    </row>
    <row r="317" spans="4:22" s="2" customFormat="1" ht="27" customHeight="1" x14ac:dyDescent="0.3">
      <c r="D317" s="23"/>
      <c r="O317" s="98"/>
      <c r="U317" s="34"/>
      <c r="V317" s="34"/>
    </row>
    <row r="318" spans="4:22" s="2" customFormat="1" ht="27" customHeight="1" x14ac:dyDescent="0.3">
      <c r="D318" s="23"/>
      <c r="O318" s="98"/>
      <c r="U318" s="34"/>
      <c r="V318" s="34"/>
    </row>
    <row r="319" spans="4:22" s="2" customFormat="1" ht="27" customHeight="1" x14ac:dyDescent="0.3">
      <c r="D319" s="23"/>
      <c r="O319" s="98"/>
      <c r="U319" s="34"/>
      <c r="V319" s="34"/>
    </row>
    <row r="320" spans="4:22" s="2" customFormat="1" ht="27" customHeight="1" x14ac:dyDescent="0.3">
      <c r="D320" s="23"/>
      <c r="O320" s="98"/>
      <c r="U320" s="34"/>
      <c r="V320" s="34"/>
    </row>
    <row r="321" spans="4:22" s="2" customFormat="1" ht="27" customHeight="1" x14ac:dyDescent="0.3">
      <c r="D321" s="23"/>
      <c r="O321" s="98"/>
      <c r="U321" s="34"/>
      <c r="V321" s="34"/>
    </row>
    <row r="322" spans="4:22" s="2" customFormat="1" ht="27" customHeight="1" x14ac:dyDescent="0.3">
      <c r="D322" s="23"/>
      <c r="O322" s="98"/>
      <c r="U322" s="34"/>
      <c r="V322" s="34"/>
    </row>
    <row r="323" spans="4:22" s="2" customFormat="1" ht="27" customHeight="1" x14ac:dyDescent="0.3">
      <c r="D323" s="23"/>
      <c r="O323" s="98"/>
      <c r="U323" s="34"/>
      <c r="V323" s="34"/>
    </row>
    <row r="324" spans="4:22" s="2" customFormat="1" ht="27" customHeight="1" x14ac:dyDescent="0.3">
      <c r="D324" s="23"/>
      <c r="O324" s="98"/>
      <c r="U324" s="34"/>
      <c r="V324" s="34"/>
    </row>
    <row r="325" spans="4:22" s="2" customFormat="1" ht="27" customHeight="1" x14ac:dyDescent="0.3">
      <c r="D325" s="23"/>
      <c r="O325" s="98"/>
      <c r="U325" s="34"/>
      <c r="V325" s="34"/>
    </row>
    <row r="326" spans="4:22" s="2" customFormat="1" ht="27" customHeight="1" x14ac:dyDescent="0.3">
      <c r="D326" s="23"/>
      <c r="O326" s="98"/>
      <c r="U326" s="34"/>
      <c r="V326" s="34"/>
    </row>
    <row r="327" spans="4:22" s="2" customFormat="1" ht="27" customHeight="1" x14ac:dyDescent="0.3">
      <c r="D327" s="23"/>
      <c r="O327" s="98"/>
      <c r="U327" s="34"/>
      <c r="V327" s="34"/>
    </row>
    <row r="328" spans="4:22" s="2" customFormat="1" ht="27" customHeight="1" x14ac:dyDescent="0.3">
      <c r="D328" s="23"/>
      <c r="O328" s="98"/>
      <c r="U328" s="34"/>
      <c r="V328" s="34"/>
    </row>
    <row r="329" spans="4:22" s="2" customFormat="1" ht="27" customHeight="1" x14ac:dyDescent="0.3">
      <c r="D329" s="23"/>
      <c r="O329" s="98"/>
      <c r="U329" s="34"/>
      <c r="V329" s="34"/>
    </row>
    <row r="330" spans="4:22" s="2" customFormat="1" ht="27" customHeight="1" x14ac:dyDescent="0.3">
      <c r="D330" s="23"/>
      <c r="O330" s="98"/>
      <c r="U330" s="34"/>
      <c r="V330" s="34"/>
    </row>
    <row r="331" spans="4:22" s="2" customFormat="1" ht="27" customHeight="1" x14ac:dyDescent="0.3">
      <c r="D331" s="23"/>
      <c r="O331" s="98"/>
      <c r="U331" s="34"/>
      <c r="V331" s="34"/>
    </row>
    <row r="332" spans="4:22" s="2" customFormat="1" ht="27" customHeight="1" x14ac:dyDescent="0.3">
      <c r="D332" s="23"/>
      <c r="O332" s="98"/>
      <c r="U332" s="34"/>
      <c r="V332" s="34"/>
    </row>
    <row r="333" spans="4:22" s="2" customFormat="1" ht="27" customHeight="1" x14ac:dyDescent="0.3">
      <c r="D333" s="23"/>
      <c r="O333" s="98"/>
      <c r="U333" s="34"/>
      <c r="V333" s="34"/>
    </row>
    <row r="334" spans="4:22" s="2" customFormat="1" ht="27" customHeight="1" x14ac:dyDescent="0.3">
      <c r="D334" s="23"/>
      <c r="O334" s="98"/>
      <c r="U334" s="34"/>
      <c r="V334" s="34"/>
    </row>
    <row r="335" spans="4:22" s="2" customFormat="1" ht="27" customHeight="1" x14ac:dyDescent="0.3">
      <c r="D335" s="23"/>
      <c r="O335" s="98"/>
      <c r="U335" s="34"/>
      <c r="V335" s="34"/>
    </row>
    <row r="336" spans="4:22" s="2" customFormat="1" ht="27" customHeight="1" x14ac:dyDescent="0.3">
      <c r="D336" s="23"/>
      <c r="O336" s="98"/>
      <c r="U336" s="34"/>
      <c r="V336" s="34"/>
    </row>
    <row r="337" spans="4:22" s="2" customFormat="1" ht="27" customHeight="1" x14ac:dyDescent="0.3">
      <c r="D337" s="23"/>
      <c r="O337" s="98"/>
      <c r="U337" s="34"/>
      <c r="V337" s="34"/>
    </row>
    <row r="338" spans="4:22" s="2" customFormat="1" ht="27" customHeight="1" x14ac:dyDescent="0.3">
      <c r="D338" s="23"/>
      <c r="O338" s="98"/>
      <c r="U338" s="34"/>
      <c r="V338" s="34"/>
    </row>
    <row r="339" spans="4:22" s="2" customFormat="1" ht="27" customHeight="1" x14ac:dyDescent="0.3">
      <c r="D339" s="23"/>
      <c r="O339" s="98"/>
      <c r="U339" s="34"/>
      <c r="V339" s="34"/>
    </row>
    <row r="340" spans="4:22" s="2" customFormat="1" ht="27" customHeight="1" x14ac:dyDescent="0.3">
      <c r="D340" s="23"/>
      <c r="O340" s="98"/>
      <c r="U340" s="34"/>
      <c r="V340" s="34"/>
    </row>
    <row r="341" spans="4:22" s="2" customFormat="1" ht="27" customHeight="1" x14ac:dyDescent="0.3">
      <c r="D341" s="23"/>
      <c r="O341" s="98"/>
      <c r="U341" s="34"/>
      <c r="V341" s="34"/>
    </row>
    <row r="342" spans="4:22" s="2" customFormat="1" ht="27" customHeight="1" x14ac:dyDescent="0.3">
      <c r="D342" s="23"/>
      <c r="O342" s="98"/>
      <c r="U342" s="34"/>
      <c r="V342" s="34"/>
    </row>
    <row r="343" spans="4:22" s="2" customFormat="1" ht="27" customHeight="1" x14ac:dyDescent="0.3">
      <c r="D343" s="23"/>
      <c r="O343" s="98"/>
      <c r="U343" s="34"/>
      <c r="V343" s="34"/>
    </row>
    <row r="344" spans="4:22" s="2" customFormat="1" ht="27" customHeight="1" x14ac:dyDescent="0.3">
      <c r="D344" s="23"/>
      <c r="O344" s="98"/>
      <c r="U344" s="34"/>
      <c r="V344" s="34"/>
    </row>
    <row r="345" spans="4:22" s="2" customFormat="1" ht="27" customHeight="1" x14ac:dyDescent="0.3">
      <c r="D345" s="23"/>
      <c r="O345" s="98"/>
      <c r="U345" s="34"/>
      <c r="V345" s="34"/>
    </row>
    <row r="346" spans="4:22" s="2" customFormat="1" ht="27" customHeight="1" x14ac:dyDescent="0.3">
      <c r="D346" s="23"/>
      <c r="O346" s="98"/>
      <c r="U346" s="34"/>
      <c r="V346" s="34"/>
    </row>
    <row r="347" spans="4:22" s="2" customFormat="1" ht="27" customHeight="1" x14ac:dyDescent="0.3">
      <c r="D347" s="23"/>
      <c r="O347" s="98"/>
      <c r="U347" s="34"/>
      <c r="V347" s="34"/>
    </row>
    <row r="348" spans="4:22" s="2" customFormat="1" ht="27" customHeight="1" x14ac:dyDescent="0.3">
      <c r="D348" s="23"/>
      <c r="O348" s="98"/>
      <c r="U348" s="34"/>
      <c r="V348" s="34"/>
    </row>
    <row r="349" spans="4:22" s="2" customFormat="1" ht="27" customHeight="1" x14ac:dyDescent="0.3">
      <c r="D349" s="23"/>
      <c r="O349" s="98"/>
      <c r="U349" s="34"/>
      <c r="V349" s="34"/>
    </row>
    <row r="350" spans="4:22" s="2" customFormat="1" ht="27" customHeight="1" x14ac:dyDescent="0.3">
      <c r="D350" s="23"/>
      <c r="O350" s="98"/>
      <c r="U350" s="34"/>
      <c r="V350" s="34"/>
    </row>
    <row r="351" spans="4:22" s="2" customFormat="1" ht="27" customHeight="1" x14ac:dyDescent="0.3">
      <c r="D351" s="23"/>
      <c r="O351" s="98"/>
      <c r="U351" s="34"/>
      <c r="V351" s="34"/>
    </row>
    <row r="352" spans="4:22" s="2" customFormat="1" ht="27" customHeight="1" x14ac:dyDescent="0.3">
      <c r="D352" s="23"/>
      <c r="O352" s="98"/>
      <c r="U352" s="34"/>
      <c r="V352" s="34"/>
    </row>
    <row r="353" spans="4:22" s="2" customFormat="1" ht="27" customHeight="1" x14ac:dyDescent="0.3">
      <c r="D353" s="23"/>
      <c r="O353" s="98"/>
      <c r="U353" s="34"/>
      <c r="V353" s="34"/>
    </row>
    <row r="354" spans="4:22" s="2" customFormat="1" ht="27" customHeight="1" x14ac:dyDescent="0.3">
      <c r="D354" s="23"/>
      <c r="O354" s="98"/>
      <c r="U354" s="34"/>
      <c r="V354" s="34"/>
    </row>
    <row r="355" spans="4:22" s="2" customFormat="1" ht="27" customHeight="1" x14ac:dyDescent="0.3">
      <c r="D355" s="23"/>
      <c r="O355" s="98"/>
      <c r="U355" s="34"/>
      <c r="V355" s="34"/>
    </row>
    <row r="356" spans="4:22" s="2" customFormat="1" ht="27" customHeight="1" x14ac:dyDescent="0.3">
      <c r="D356" s="23"/>
      <c r="O356" s="98"/>
      <c r="U356" s="34"/>
      <c r="V356" s="34"/>
    </row>
    <row r="357" spans="4:22" s="2" customFormat="1" ht="27" customHeight="1" x14ac:dyDescent="0.3">
      <c r="D357" s="23"/>
      <c r="O357" s="98"/>
      <c r="U357" s="34"/>
      <c r="V357" s="34"/>
    </row>
    <row r="358" spans="4:22" s="2" customFormat="1" ht="27" customHeight="1" x14ac:dyDescent="0.3">
      <c r="D358" s="23"/>
      <c r="O358" s="98"/>
      <c r="U358" s="34"/>
      <c r="V358" s="34"/>
    </row>
    <row r="359" spans="4:22" s="2" customFormat="1" ht="27" customHeight="1" x14ac:dyDescent="0.3">
      <c r="D359" s="23"/>
      <c r="O359" s="98"/>
      <c r="U359" s="34"/>
      <c r="V359" s="34"/>
    </row>
    <row r="360" spans="4:22" s="2" customFormat="1" ht="27" customHeight="1" x14ac:dyDescent="0.3">
      <c r="D360" s="23"/>
      <c r="O360" s="98"/>
      <c r="U360" s="34"/>
      <c r="V360" s="34"/>
    </row>
    <row r="361" spans="4:22" s="2" customFormat="1" ht="27" customHeight="1" x14ac:dyDescent="0.3">
      <c r="D361" s="23"/>
      <c r="O361" s="98"/>
      <c r="U361" s="34"/>
      <c r="V361" s="34"/>
    </row>
    <row r="362" spans="4:22" s="2" customFormat="1" ht="27" customHeight="1" x14ac:dyDescent="0.3">
      <c r="D362" s="23"/>
      <c r="O362" s="98"/>
      <c r="U362" s="34"/>
      <c r="V362" s="34"/>
    </row>
    <row r="363" spans="4:22" s="2" customFormat="1" ht="27" customHeight="1" x14ac:dyDescent="0.3">
      <c r="D363" s="23"/>
      <c r="O363" s="98"/>
      <c r="U363" s="34"/>
      <c r="V363" s="34"/>
    </row>
    <row r="364" spans="4:22" s="2" customFormat="1" ht="27" customHeight="1" x14ac:dyDescent="0.3">
      <c r="D364" s="23"/>
      <c r="O364" s="98"/>
      <c r="U364" s="34"/>
      <c r="V364" s="34"/>
    </row>
    <row r="365" spans="4:22" s="2" customFormat="1" ht="27" customHeight="1" x14ac:dyDescent="0.3">
      <c r="D365" s="23"/>
      <c r="O365" s="98"/>
      <c r="U365" s="34"/>
      <c r="V365" s="34"/>
    </row>
    <row r="366" spans="4:22" s="2" customFormat="1" ht="27" customHeight="1" x14ac:dyDescent="0.3">
      <c r="D366" s="23"/>
      <c r="O366" s="98"/>
      <c r="U366" s="34"/>
      <c r="V366" s="34"/>
    </row>
    <row r="367" spans="4:22" s="2" customFormat="1" ht="27" customHeight="1" x14ac:dyDescent="0.3">
      <c r="D367" s="23"/>
      <c r="O367" s="98"/>
      <c r="U367" s="34"/>
      <c r="V367" s="34"/>
    </row>
    <row r="368" spans="4:22" s="2" customFormat="1" ht="27" customHeight="1" x14ac:dyDescent="0.3">
      <c r="D368" s="23"/>
      <c r="O368" s="98"/>
      <c r="U368" s="34"/>
      <c r="V368" s="34"/>
    </row>
    <row r="369" spans="4:22" s="2" customFormat="1" ht="27" customHeight="1" x14ac:dyDescent="0.3">
      <c r="D369" s="23"/>
      <c r="O369" s="98"/>
      <c r="U369" s="34"/>
      <c r="V369" s="34"/>
    </row>
    <row r="370" spans="4:22" s="2" customFormat="1" ht="27" customHeight="1" x14ac:dyDescent="0.3">
      <c r="D370" s="23"/>
      <c r="O370" s="98"/>
      <c r="U370" s="34"/>
      <c r="V370" s="34"/>
    </row>
    <row r="371" spans="4:22" s="2" customFormat="1" ht="27" customHeight="1" x14ac:dyDescent="0.3">
      <c r="D371" s="23"/>
      <c r="O371" s="98"/>
      <c r="U371" s="34"/>
      <c r="V371" s="34"/>
    </row>
    <row r="372" spans="4:22" s="2" customFormat="1" ht="27" customHeight="1" x14ac:dyDescent="0.3">
      <c r="D372" s="23"/>
      <c r="O372" s="98"/>
      <c r="U372" s="34"/>
      <c r="V372" s="34"/>
    </row>
    <row r="373" spans="4:22" s="2" customFormat="1" ht="27" customHeight="1" x14ac:dyDescent="0.3">
      <c r="D373" s="23"/>
      <c r="O373" s="98"/>
      <c r="U373" s="34"/>
      <c r="V373" s="34"/>
    </row>
    <row r="374" spans="4:22" s="2" customFormat="1" ht="27" customHeight="1" x14ac:dyDescent="0.3">
      <c r="D374" s="23"/>
      <c r="O374" s="98"/>
      <c r="U374" s="34"/>
      <c r="V374" s="34"/>
    </row>
    <row r="375" spans="4:22" s="2" customFormat="1" ht="27" customHeight="1" x14ac:dyDescent="0.3">
      <c r="D375" s="23"/>
      <c r="O375" s="98"/>
      <c r="U375" s="34"/>
      <c r="V375" s="34"/>
    </row>
    <row r="376" spans="4:22" s="2" customFormat="1" ht="27" customHeight="1" x14ac:dyDescent="0.3">
      <c r="D376" s="23"/>
      <c r="O376" s="98"/>
      <c r="U376" s="34"/>
      <c r="V376" s="34"/>
    </row>
    <row r="377" spans="4:22" s="2" customFormat="1" ht="27" customHeight="1" x14ac:dyDescent="0.3">
      <c r="D377" s="23"/>
      <c r="O377" s="98"/>
      <c r="U377" s="34"/>
      <c r="V377" s="34"/>
    </row>
    <row r="378" spans="4:22" s="2" customFormat="1" ht="27" customHeight="1" x14ac:dyDescent="0.3">
      <c r="D378" s="23"/>
      <c r="O378" s="98"/>
      <c r="U378" s="34"/>
      <c r="V378" s="34"/>
    </row>
    <row r="379" spans="4:22" s="2" customFormat="1" ht="27" customHeight="1" x14ac:dyDescent="0.3">
      <c r="D379" s="23"/>
      <c r="O379" s="98"/>
      <c r="U379" s="34"/>
      <c r="V379" s="34"/>
    </row>
    <row r="380" spans="4:22" s="2" customFormat="1" ht="27" customHeight="1" x14ac:dyDescent="0.3">
      <c r="D380" s="23"/>
      <c r="O380" s="98"/>
      <c r="U380" s="34"/>
      <c r="V380" s="34"/>
    </row>
    <row r="381" spans="4:22" s="2" customFormat="1" ht="27" customHeight="1" x14ac:dyDescent="0.3">
      <c r="D381" s="23"/>
      <c r="O381" s="98"/>
      <c r="U381" s="34"/>
      <c r="V381" s="34"/>
    </row>
    <row r="382" spans="4:22" s="2" customFormat="1" ht="27" customHeight="1" x14ac:dyDescent="0.3">
      <c r="D382" s="23"/>
      <c r="O382" s="98"/>
      <c r="U382" s="34"/>
      <c r="V382" s="34"/>
    </row>
    <row r="383" spans="4:22" s="2" customFormat="1" ht="27" customHeight="1" x14ac:dyDescent="0.3">
      <c r="D383" s="23"/>
      <c r="O383" s="98"/>
      <c r="U383" s="34"/>
      <c r="V383" s="34"/>
    </row>
    <row r="384" spans="4:22" s="2" customFormat="1" ht="27" customHeight="1" x14ac:dyDescent="0.3">
      <c r="D384" s="23"/>
      <c r="O384" s="98"/>
      <c r="U384" s="34"/>
      <c r="V384" s="34"/>
    </row>
    <row r="385" spans="4:22" s="2" customFormat="1" ht="27" customHeight="1" x14ac:dyDescent="0.3">
      <c r="D385" s="23"/>
      <c r="O385" s="98"/>
      <c r="U385" s="34"/>
      <c r="V385" s="34"/>
    </row>
    <row r="386" spans="4:22" s="2" customFormat="1" ht="27" customHeight="1" x14ac:dyDescent="0.3">
      <c r="D386" s="23"/>
      <c r="O386" s="98"/>
      <c r="U386" s="34"/>
      <c r="V386" s="34"/>
    </row>
    <row r="387" spans="4:22" s="2" customFormat="1" ht="27" customHeight="1" x14ac:dyDescent="0.3">
      <c r="D387" s="23"/>
      <c r="O387" s="98"/>
      <c r="U387" s="34"/>
      <c r="V387" s="34"/>
    </row>
    <row r="388" spans="4:22" s="2" customFormat="1" ht="27" customHeight="1" x14ac:dyDescent="0.3">
      <c r="D388" s="23"/>
      <c r="O388" s="98"/>
      <c r="U388" s="34"/>
      <c r="V388" s="34"/>
    </row>
    <row r="389" spans="4:22" s="2" customFormat="1" ht="27" customHeight="1" x14ac:dyDescent="0.3">
      <c r="D389" s="23"/>
      <c r="O389" s="98"/>
      <c r="U389" s="34"/>
      <c r="V389" s="34"/>
    </row>
    <row r="390" spans="4:22" s="2" customFormat="1" ht="27" customHeight="1" x14ac:dyDescent="0.3">
      <c r="D390" s="23"/>
      <c r="O390" s="98"/>
      <c r="U390" s="34"/>
      <c r="V390" s="34"/>
    </row>
    <row r="391" spans="4:22" s="2" customFormat="1" ht="27" customHeight="1" x14ac:dyDescent="0.3">
      <c r="D391" s="23"/>
      <c r="O391" s="98"/>
      <c r="U391" s="34"/>
      <c r="V391" s="34"/>
    </row>
    <row r="392" spans="4:22" s="2" customFormat="1" ht="27" customHeight="1" x14ac:dyDescent="0.3">
      <c r="D392" s="23"/>
      <c r="O392" s="98"/>
      <c r="U392" s="34"/>
      <c r="V392" s="34"/>
    </row>
    <row r="393" spans="4:22" s="2" customFormat="1" ht="27" customHeight="1" x14ac:dyDescent="0.3">
      <c r="D393" s="23"/>
      <c r="O393" s="98"/>
      <c r="U393" s="34"/>
      <c r="V393" s="34"/>
    </row>
    <row r="394" spans="4:22" s="2" customFormat="1" ht="27" customHeight="1" x14ac:dyDescent="0.3">
      <c r="D394" s="23"/>
      <c r="O394" s="98"/>
      <c r="U394" s="34"/>
      <c r="V394" s="34"/>
    </row>
    <row r="395" spans="4:22" s="2" customFormat="1" ht="27" customHeight="1" x14ac:dyDescent="0.3">
      <c r="D395" s="23"/>
      <c r="O395" s="98"/>
      <c r="U395" s="34"/>
      <c r="V395" s="34"/>
    </row>
    <row r="396" spans="4:22" s="2" customFormat="1" ht="27" customHeight="1" x14ac:dyDescent="0.3">
      <c r="D396" s="23"/>
      <c r="O396" s="98"/>
      <c r="U396" s="34"/>
      <c r="V396" s="34"/>
    </row>
    <row r="397" spans="4:22" s="2" customFormat="1" ht="27" customHeight="1" x14ac:dyDescent="0.3">
      <c r="D397" s="23"/>
      <c r="O397" s="98"/>
      <c r="U397" s="34"/>
      <c r="V397" s="34"/>
    </row>
    <row r="398" spans="4:22" s="2" customFormat="1" ht="27" customHeight="1" x14ac:dyDescent="0.3">
      <c r="D398" s="23"/>
      <c r="O398" s="98"/>
      <c r="U398" s="34"/>
      <c r="V398" s="34"/>
    </row>
    <row r="399" spans="4:22" s="2" customFormat="1" ht="27" customHeight="1" x14ac:dyDescent="0.3">
      <c r="D399" s="23"/>
      <c r="O399" s="98"/>
      <c r="U399" s="34"/>
      <c r="V399" s="34"/>
    </row>
    <row r="400" spans="4:22" s="2" customFormat="1" ht="27" customHeight="1" x14ac:dyDescent="0.3">
      <c r="D400" s="23"/>
      <c r="O400" s="98"/>
      <c r="U400" s="34"/>
      <c r="V400" s="34"/>
    </row>
    <row r="401" spans="4:22" s="2" customFormat="1" ht="27" customHeight="1" x14ac:dyDescent="0.3">
      <c r="D401" s="23"/>
      <c r="O401" s="98"/>
      <c r="U401" s="34"/>
      <c r="V401" s="34"/>
    </row>
    <row r="402" spans="4:22" s="2" customFormat="1" ht="27" customHeight="1" x14ac:dyDescent="0.3">
      <c r="D402" s="23"/>
      <c r="O402" s="98"/>
      <c r="U402" s="34"/>
      <c r="V402" s="34"/>
    </row>
    <row r="403" spans="4:22" s="2" customFormat="1" ht="27" customHeight="1" x14ac:dyDescent="0.3">
      <c r="D403" s="23"/>
      <c r="O403" s="98"/>
      <c r="U403" s="34"/>
      <c r="V403" s="34"/>
    </row>
    <row r="404" spans="4:22" s="2" customFormat="1" ht="27" customHeight="1" x14ac:dyDescent="0.3">
      <c r="D404" s="23"/>
      <c r="O404" s="98"/>
      <c r="U404" s="34"/>
      <c r="V404" s="34"/>
    </row>
    <row r="405" spans="4:22" s="2" customFormat="1" ht="27" customHeight="1" x14ac:dyDescent="0.3">
      <c r="D405" s="23"/>
      <c r="O405" s="98"/>
      <c r="U405" s="34"/>
      <c r="V405" s="34"/>
    </row>
    <row r="406" spans="4:22" s="2" customFormat="1" ht="27" customHeight="1" x14ac:dyDescent="0.3">
      <c r="D406" s="23"/>
      <c r="O406" s="98"/>
      <c r="U406" s="34"/>
      <c r="V406" s="34"/>
    </row>
    <row r="407" spans="4:22" s="2" customFormat="1" ht="27" customHeight="1" x14ac:dyDescent="0.3">
      <c r="D407" s="23"/>
      <c r="O407" s="98"/>
      <c r="U407" s="34"/>
      <c r="V407" s="34"/>
    </row>
    <row r="408" spans="4:22" s="2" customFormat="1" ht="27" customHeight="1" x14ac:dyDescent="0.3">
      <c r="D408" s="23"/>
      <c r="O408" s="98"/>
      <c r="U408" s="34"/>
      <c r="V408" s="34"/>
    </row>
    <row r="409" spans="4:22" s="2" customFormat="1" ht="27" customHeight="1" x14ac:dyDescent="0.3">
      <c r="D409" s="23"/>
      <c r="O409" s="98"/>
      <c r="U409" s="34"/>
      <c r="V409" s="34"/>
    </row>
    <row r="410" spans="4:22" s="2" customFormat="1" ht="27" customHeight="1" x14ac:dyDescent="0.3">
      <c r="D410" s="23"/>
      <c r="O410" s="98"/>
      <c r="U410" s="34"/>
      <c r="V410" s="34"/>
    </row>
    <row r="411" spans="4:22" s="2" customFormat="1" ht="27" customHeight="1" x14ac:dyDescent="0.3">
      <c r="D411" s="23"/>
      <c r="O411" s="98"/>
      <c r="U411" s="34"/>
      <c r="V411" s="34"/>
    </row>
    <row r="412" spans="4:22" s="2" customFormat="1" ht="27" customHeight="1" x14ac:dyDescent="0.3">
      <c r="D412" s="23"/>
      <c r="O412" s="98"/>
      <c r="U412" s="34"/>
      <c r="V412" s="34"/>
    </row>
    <row r="413" spans="4:22" s="2" customFormat="1" ht="27" customHeight="1" x14ac:dyDescent="0.3">
      <c r="D413" s="23"/>
      <c r="O413" s="98"/>
      <c r="U413" s="34"/>
      <c r="V413" s="34"/>
    </row>
    <row r="414" spans="4:22" s="2" customFormat="1" ht="27" customHeight="1" x14ac:dyDescent="0.3">
      <c r="D414" s="23"/>
      <c r="O414" s="98"/>
      <c r="U414" s="34"/>
      <c r="V414" s="34"/>
    </row>
    <row r="415" spans="4:22" s="2" customFormat="1" ht="27" customHeight="1" x14ac:dyDescent="0.3">
      <c r="D415" s="23"/>
      <c r="O415" s="98"/>
      <c r="U415" s="34"/>
      <c r="V415" s="34"/>
    </row>
    <row r="416" spans="4:22" s="2" customFormat="1" ht="27" customHeight="1" x14ac:dyDescent="0.3">
      <c r="D416" s="23"/>
      <c r="O416" s="98"/>
      <c r="U416" s="34"/>
      <c r="V416" s="34"/>
    </row>
    <row r="417" spans="4:22" s="2" customFormat="1" ht="27" customHeight="1" x14ac:dyDescent="0.3">
      <c r="D417" s="23"/>
      <c r="O417" s="98"/>
      <c r="U417" s="34"/>
      <c r="V417" s="34"/>
    </row>
    <row r="418" spans="4:22" s="2" customFormat="1" ht="27" customHeight="1" x14ac:dyDescent="0.3">
      <c r="D418" s="23"/>
      <c r="O418" s="98"/>
      <c r="U418" s="34"/>
      <c r="V418" s="34"/>
    </row>
    <row r="419" spans="4:22" s="2" customFormat="1" ht="27" customHeight="1" x14ac:dyDescent="0.3">
      <c r="D419" s="23"/>
      <c r="O419" s="98"/>
      <c r="U419" s="34"/>
      <c r="V419" s="34"/>
    </row>
    <row r="420" spans="4:22" s="2" customFormat="1" ht="27" customHeight="1" x14ac:dyDescent="0.3">
      <c r="D420" s="23"/>
      <c r="O420" s="98"/>
      <c r="U420" s="34"/>
      <c r="V420" s="34"/>
    </row>
    <row r="421" spans="4:22" s="2" customFormat="1" ht="27" customHeight="1" x14ac:dyDescent="0.3">
      <c r="D421" s="23"/>
      <c r="O421" s="98"/>
      <c r="U421" s="34"/>
      <c r="V421" s="34"/>
    </row>
    <row r="422" spans="4:22" s="2" customFormat="1" ht="27" customHeight="1" x14ac:dyDescent="0.3">
      <c r="D422" s="23"/>
      <c r="O422" s="98"/>
      <c r="U422" s="34"/>
      <c r="V422" s="34"/>
    </row>
    <row r="423" spans="4:22" s="2" customFormat="1" ht="27" customHeight="1" x14ac:dyDescent="0.3">
      <c r="D423" s="23"/>
      <c r="O423" s="98"/>
      <c r="U423" s="34"/>
      <c r="V423" s="34"/>
    </row>
    <row r="424" spans="4:22" s="2" customFormat="1" ht="27" customHeight="1" x14ac:dyDescent="0.3">
      <c r="D424" s="23"/>
      <c r="O424" s="98"/>
      <c r="U424" s="34"/>
      <c r="V424" s="34"/>
    </row>
    <row r="425" spans="4:22" s="2" customFormat="1" ht="27" customHeight="1" x14ac:dyDescent="0.3">
      <c r="D425" s="23"/>
      <c r="O425" s="98"/>
      <c r="U425" s="34"/>
      <c r="V425" s="34"/>
    </row>
    <row r="426" spans="4:22" s="2" customFormat="1" ht="27" customHeight="1" x14ac:dyDescent="0.3">
      <c r="D426" s="23"/>
      <c r="O426" s="98"/>
      <c r="U426" s="34"/>
      <c r="V426" s="34"/>
    </row>
    <row r="427" spans="4:22" s="2" customFormat="1" ht="27" customHeight="1" x14ac:dyDescent="0.3">
      <c r="D427" s="23"/>
      <c r="O427" s="98"/>
      <c r="U427" s="34"/>
      <c r="V427" s="34"/>
    </row>
    <row r="428" spans="4:22" s="2" customFormat="1" ht="27" customHeight="1" x14ac:dyDescent="0.3">
      <c r="D428" s="23"/>
      <c r="O428" s="98"/>
      <c r="U428" s="34"/>
      <c r="V428" s="34"/>
    </row>
    <row r="429" spans="4:22" s="2" customFormat="1" ht="27" customHeight="1" x14ac:dyDescent="0.3">
      <c r="D429" s="23"/>
      <c r="O429" s="98"/>
      <c r="U429" s="34"/>
      <c r="V429" s="34"/>
    </row>
    <row r="430" spans="4:22" s="2" customFormat="1" ht="27" customHeight="1" x14ac:dyDescent="0.3">
      <c r="D430" s="23"/>
      <c r="O430" s="98"/>
      <c r="U430" s="34"/>
      <c r="V430" s="34"/>
    </row>
    <row r="431" spans="4:22" s="2" customFormat="1" ht="27" customHeight="1" x14ac:dyDescent="0.3">
      <c r="D431" s="23"/>
      <c r="O431" s="98"/>
      <c r="U431" s="34"/>
      <c r="V431" s="34"/>
    </row>
    <row r="432" spans="4:22" s="2" customFormat="1" ht="27" customHeight="1" x14ac:dyDescent="0.3">
      <c r="D432" s="23"/>
      <c r="O432" s="98"/>
      <c r="U432" s="34"/>
      <c r="V432" s="34"/>
    </row>
    <row r="433" spans="4:22" s="2" customFormat="1" ht="27" customHeight="1" x14ac:dyDescent="0.3">
      <c r="D433" s="23"/>
      <c r="O433" s="98"/>
      <c r="U433" s="34"/>
      <c r="V433" s="34"/>
    </row>
    <row r="434" spans="4:22" s="2" customFormat="1" ht="27" customHeight="1" x14ac:dyDescent="0.3">
      <c r="D434" s="23"/>
      <c r="O434" s="98"/>
      <c r="U434" s="34"/>
      <c r="V434" s="34"/>
    </row>
    <row r="435" spans="4:22" s="2" customFormat="1" ht="27" customHeight="1" x14ac:dyDescent="0.3">
      <c r="D435" s="23"/>
      <c r="O435" s="98"/>
      <c r="U435" s="34"/>
      <c r="V435" s="34"/>
    </row>
    <row r="436" spans="4:22" s="2" customFormat="1" ht="27" customHeight="1" x14ac:dyDescent="0.3">
      <c r="D436" s="23"/>
      <c r="O436" s="98"/>
      <c r="U436" s="34"/>
      <c r="V436" s="34"/>
    </row>
    <row r="437" spans="4:22" s="2" customFormat="1" ht="27" customHeight="1" x14ac:dyDescent="0.3">
      <c r="D437" s="23"/>
      <c r="O437" s="98"/>
      <c r="U437" s="34"/>
      <c r="V437" s="34"/>
    </row>
    <row r="438" spans="4:22" s="2" customFormat="1" ht="27" customHeight="1" x14ac:dyDescent="0.3">
      <c r="D438" s="23"/>
      <c r="O438" s="98"/>
      <c r="U438" s="34"/>
      <c r="V438" s="34"/>
    </row>
    <row r="439" spans="4:22" s="2" customFormat="1" ht="27" customHeight="1" x14ac:dyDescent="0.3">
      <c r="D439" s="23"/>
      <c r="O439" s="98"/>
      <c r="U439" s="34"/>
      <c r="V439" s="34"/>
    </row>
    <row r="440" spans="4:22" s="2" customFormat="1" ht="27" customHeight="1" x14ac:dyDescent="0.3">
      <c r="D440" s="23"/>
      <c r="O440" s="98"/>
      <c r="U440" s="34"/>
      <c r="V440" s="34"/>
    </row>
    <row r="441" spans="4:22" s="2" customFormat="1" ht="27" customHeight="1" x14ac:dyDescent="0.3">
      <c r="D441" s="23"/>
      <c r="O441" s="98"/>
      <c r="U441" s="34"/>
      <c r="V441" s="34"/>
    </row>
    <row r="442" spans="4:22" s="2" customFormat="1" ht="27" customHeight="1" x14ac:dyDescent="0.3">
      <c r="D442" s="23"/>
      <c r="O442" s="98"/>
      <c r="U442" s="34"/>
      <c r="V442" s="34"/>
    </row>
    <row r="443" spans="4:22" s="2" customFormat="1" ht="27" customHeight="1" x14ac:dyDescent="0.3">
      <c r="D443" s="23"/>
      <c r="O443" s="98"/>
      <c r="U443" s="34"/>
      <c r="V443" s="34"/>
    </row>
    <row r="444" spans="4:22" s="2" customFormat="1" ht="27" customHeight="1" x14ac:dyDescent="0.3">
      <c r="D444" s="23"/>
      <c r="O444" s="98"/>
      <c r="U444" s="34"/>
      <c r="V444" s="34"/>
    </row>
    <row r="445" spans="4:22" s="2" customFormat="1" ht="27" customHeight="1" x14ac:dyDescent="0.3">
      <c r="D445" s="23"/>
      <c r="O445" s="98"/>
      <c r="U445" s="34"/>
      <c r="V445" s="34"/>
    </row>
    <row r="446" spans="4:22" s="2" customFormat="1" ht="27" customHeight="1" x14ac:dyDescent="0.3">
      <c r="D446" s="23"/>
      <c r="O446" s="98"/>
      <c r="U446" s="34"/>
      <c r="V446" s="34"/>
    </row>
    <row r="447" spans="4:22" s="2" customFormat="1" ht="27" customHeight="1" x14ac:dyDescent="0.3">
      <c r="D447" s="23"/>
      <c r="O447" s="98"/>
      <c r="U447" s="34"/>
      <c r="V447" s="34"/>
    </row>
    <row r="448" spans="4:22" s="2" customFormat="1" ht="27" customHeight="1" x14ac:dyDescent="0.3">
      <c r="D448" s="23"/>
      <c r="O448" s="98"/>
      <c r="U448" s="34"/>
      <c r="V448" s="34"/>
    </row>
    <row r="449" spans="4:22" s="2" customFormat="1" ht="27" customHeight="1" x14ac:dyDescent="0.3">
      <c r="D449" s="23"/>
      <c r="O449" s="98"/>
      <c r="U449" s="34"/>
      <c r="V449" s="34"/>
    </row>
    <row r="450" spans="4:22" s="2" customFormat="1" ht="27" customHeight="1" x14ac:dyDescent="0.3">
      <c r="D450" s="23"/>
      <c r="O450" s="98"/>
      <c r="U450" s="34"/>
      <c r="V450" s="34"/>
    </row>
    <row r="451" spans="4:22" s="2" customFormat="1" ht="27" customHeight="1" x14ac:dyDescent="0.3">
      <c r="D451" s="23"/>
      <c r="O451" s="98"/>
      <c r="U451" s="34"/>
      <c r="V451" s="34"/>
    </row>
    <row r="452" spans="4:22" s="2" customFormat="1" ht="27" customHeight="1" x14ac:dyDescent="0.3">
      <c r="D452" s="23"/>
      <c r="O452" s="98"/>
      <c r="U452" s="34"/>
      <c r="V452" s="34"/>
    </row>
    <row r="453" spans="4:22" s="2" customFormat="1" ht="27" customHeight="1" x14ac:dyDescent="0.3">
      <c r="D453" s="23"/>
      <c r="O453" s="98"/>
      <c r="U453" s="34"/>
      <c r="V453" s="34"/>
    </row>
    <row r="454" spans="4:22" s="2" customFormat="1" ht="27" customHeight="1" x14ac:dyDescent="0.3">
      <c r="D454" s="23"/>
      <c r="O454" s="98"/>
      <c r="U454" s="34"/>
      <c r="V454" s="34"/>
    </row>
    <row r="455" spans="4:22" s="2" customFormat="1" ht="27" customHeight="1" x14ac:dyDescent="0.3">
      <c r="D455" s="23"/>
      <c r="O455" s="98"/>
      <c r="U455" s="34"/>
      <c r="V455" s="34"/>
    </row>
    <row r="456" spans="4:22" s="2" customFormat="1" ht="27" customHeight="1" x14ac:dyDescent="0.3">
      <c r="D456" s="23"/>
      <c r="O456" s="98"/>
      <c r="U456" s="34"/>
      <c r="V456" s="34"/>
    </row>
    <row r="457" spans="4:22" s="2" customFormat="1" ht="27" customHeight="1" x14ac:dyDescent="0.3">
      <c r="D457" s="23"/>
      <c r="O457" s="98"/>
      <c r="U457" s="34"/>
      <c r="V457" s="34"/>
    </row>
    <row r="458" spans="4:22" s="2" customFormat="1" ht="27" customHeight="1" x14ac:dyDescent="0.3">
      <c r="D458" s="23"/>
      <c r="O458" s="98"/>
      <c r="U458" s="34"/>
      <c r="V458" s="34"/>
    </row>
    <row r="459" spans="4:22" s="2" customFormat="1" ht="27" customHeight="1" x14ac:dyDescent="0.3">
      <c r="D459" s="23"/>
      <c r="O459" s="98"/>
      <c r="U459" s="34"/>
      <c r="V459" s="34"/>
    </row>
    <row r="460" spans="4:22" s="2" customFormat="1" ht="27" customHeight="1" x14ac:dyDescent="0.3">
      <c r="D460" s="23"/>
      <c r="O460" s="98"/>
      <c r="U460" s="34"/>
      <c r="V460" s="34"/>
    </row>
    <row r="461" spans="4:22" s="2" customFormat="1" ht="27" customHeight="1" x14ac:dyDescent="0.3">
      <c r="D461" s="23"/>
      <c r="O461" s="98"/>
      <c r="U461" s="34"/>
      <c r="V461" s="34"/>
    </row>
    <row r="462" spans="4:22" s="2" customFormat="1" ht="27" customHeight="1" x14ac:dyDescent="0.3">
      <c r="D462" s="23"/>
      <c r="O462" s="98"/>
      <c r="U462" s="34"/>
      <c r="V462" s="34"/>
    </row>
    <row r="463" spans="4:22" s="2" customFormat="1" ht="27" customHeight="1" x14ac:dyDescent="0.3">
      <c r="D463" s="23"/>
      <c r="O463" s="98"/>
      <c r="U463" s="34"/>
      <c r="V463" s="34"/>
    </row>
    <row r="464" spans="4:22" s="2" customFormat="1" ht="27" customHeight="1" x14ac:dyDescent="0.3">
      <c r="D464" s="23"/>
      <c r="O464" s="98"/>
      <c r="U464" s="34"/>
      <c r="V464" s="34"/>
    </row>
    <row r="465" spans="4:22" s="2" customFormat="1" ht="27" customHeight="1" x14ac:dyDescent="0.3">
      <c r="D465" s="23"/>
      <c r="O465" s="98"/>
      <c r="U465" s="34"/>
      <c r="V465" s="34"/>
    </row>
    <row r="466" spans="4:22" s="2" customFormat="1" ht="27" customHeight="1" x14ac:dyDescent="0.3">
      <c r="D466" s="23"/>
      <c r="O466" s="98"/>
      <c r="U466" s="34"/>
      <c r="V466" s="34"/>
    </row>
    <row r="467" spans="4:22" s="2" customFormat="1" ht="27" customHeight="1" x14ac:dyDescent="0.3">
      <c r="D467" s="23"/>
      <c r="O467" s="98"/>
      <c r="U467" s="34"/>
      <c r="V467" s="34"/>
    </row>
    <row r="468" spans="4:22" s="2" customFormat="1" ht="27" customHeight="1" x14ac:dyDescent="0.3">
      <c r="D468" s="23"/>
      <c r="O468" s="98"/>
      <c r="U468" s="34"/>
      <c r="V468" s="34"/>
    </row>
    <row r="469" spans="4:22" s="2" customFormat="1" ht="27" customHeight="1" x14ac:dyDescent="0.3">
      <c r="D469" s="23"/>
      <c r="O469" s="98"/>
      <c r="U469" s="34"/>
      <c r="V469" s="34"/>
    </row>
    <row r="470" spans="4:22" s="2" customFormat="1" ht="27" customHeight="1" x14ac:dyDescent="0.3">
      <c r="D470" s="23"/>
      <c r="O470" s="98"/>
      <c r="U470" s="34"/>
      <c r="V470" s="34"/>
    </row>
    <row r="471" spans="4:22" s="2" customFormat="1" ht="27" customHeight="1" x14ac:dyDescent="0.3">
      <c r="D471" s="23"/>
      <c r="O471" s="98"/>
      <c r="U471" s="34"/>
      <c r="V471" s="34"/>
    </row>
    <row r="472" spans="4:22" s="2" customFormat="1" ht="27" customHeight="1" x14ac:dyDescent="0.3">
      <c r="D472" s="23"/>
      <c r="O472" s="98"/>
      <c r="U472" s="34"/>
      <c r="V472" s="34"/>
    </row>
    <row r="473" spans="4:22" s="2" customFormat="1" ht="27" customHeight="1" x14ac:dyDescent="0.3">
      <c r="D473" s="23"/>
      <c r="O473" s="98"/>
      <c r="U473" s="34"/>
      <c r="V473" s="34"/>
    </row>
    <row r="474" spans="4:22" s="2" customFormat="1" ht="27" customHeight="1" x14ac:dyDescent="0.3">
      <c r="D474" s="23"/>
      <c r="O474" s="98"/>
      <c r="U474" s="34"/>
      <c r="V474" s="34"/>
    </row>
    <row r="475" spans="4:22" s="2" customFormat="1" ht="27" customHeight="1" x14ac:dyDescent="0.3">
      <c r="D475" s="23"/>
      <c r="O475" s="98"/>
      <c r="U475" s="34"/>
      <c r="V475" s="34"/>
    </row>
    <row r="476" spans="4:22" s="2" customFormat="1" ht="27" customHeight="1" x14ac:dyDescent="0.3">
      <c r="D476" s="23"/>
      <c r="O476" s="98"/>
      <c r="U476" s="34"/>
      <c r="V476" s="34"/>
    </row>
    <row r="477" spans="4:22" s="2" customFormat="1" ht="27" customHeight="1" x14ac:dyDescent="0.3">
      <c r="D477" s="23"/>
      <c r="O477" s="98"/>
      <c r="U477" s="34"/>
      <c r="V477" s="34"/>
    </row>
    <row r="478" spans="4:22" s="2" customFormat="1" ht="27" customHeight="1" x14ac:dyDescent="0.3">
      <c r="D478" s="23"/>
      <c r="O478" s="98"/>
      <c r="U478" s="34"/>
      <c r="V478" s="34"/>
    </row>
    <row r="479" spans="4:22" s="2" customFormat="1" ht="27" customHeight="1" x14ac:dyDescent="0.3">
      <c r="D479" s="23"/>
      <c r="O479" s="98"/>
      <c r="U479" s="34"/>
      <c r="V479" s="34"/>
    </row>
    <row r="480" spans="4:22" s="2" customFormat="1" ht="27" customHeight="1" x14ac:dyDescent="0.3">
      <c r="D480" s="23"/>
      <c r="O480" s="98"/>
      <c r="U480" s="34"/>
      <c r="V480" s="34"/>
    </row>
    <row r="481" spans="4:22" s="2" customFormat="1" ht="27" customHeight="1" x14ac:dyDescent="0.3">
      <c r="D481" s="23"/>
      <c r="O481" s="98"/>
      <c r="U481" s="34"/>
      <c r="V481" s="34"/>
    </row>
    <row r="482" spans="4:22" s="2" customFormat="1" ht="27" customHeight="1" x14ac:dyDescent="0.3">
      <c r="D482" s="23"/>
      <c r="O482" s="98"/>
      <c r="U482" s="34"/>
      <c r="V482" s="34"/>
    </row>
    <row r="483" spans="4:22" s="2" customFormat="1" ht="27" customHeight="1" x14ac:dyDescent="0.3">
      <c r="D483" s="23"/>
      <c r="O483" s="98"/>
      <c r="U483" s="34"/>
      <c r="V483" s="34"/>
    </row>
    <row r="484" spans="4:22" s="2" customFormat="1" ht="27" customHeight="1" x14ac:dyDescent="0.3">
      <c r="D484" s="23"/>
      <c r="O484" s="98"/>
      <c r="U484" s="34"/>
      <c r="V484" s="34"/>
    </row>
    <row r="485" spans="4:22" s="2" customFormat="1" ht="27" customHeight="1" x14ac:dyDescent="0.3">
      <c r="D485" s="23"/>
      <c r="O485" s="98"/>
      <c r="U485" s="34"/>
      <c r="V485" s="34"/>
    </row>
    <row r="486" spans="4:22" s="2" customFormat="1" ht="27" customHeight="1" x14ac:dyDescent="0.3">
      <c r="D486" s="23"/>
      <c r="O486" s="98"/>
      <c r="U486" s="34"/>
      <c r="V486" s="34"/>
    </row>
    <row r="487" spans="4:22" s="2" customFormat="1" ht="27" customHeight="1" x14ac:dyDescent="0.3">
      <c r="D487" s="23"/>
      <c r="O487" s="98"/>
      <c r="U487" s="34"/>
      <c r="V487" s="34"/>
    </row>
    <row r="488" spans="4:22" s="2" customFormat="1" ht="27" customHeight="1" x14ac:dyDescent="0.3">
      <c r="D488" s="23"/>
      <c r="O488" s="98"/>
      <c r="U488" s="34"/>
      <c r="V488" s="34"/>
    </row>
    <row r="489" spans="4:22" s="2" customFormat="1" ht="27" customHeight="1" x14ac:dyDescent="0.3">
      <c r="D489" s="23"/>
      <c r="O489" s="98"/>
      <c r="U489" s="34"/>
      <c r="V489" s="34"/>
    </row>
    <row r="490" spans="4:22" s="2" customFormat="1" ht="27" customHeight="1" x14ac:dyDescent="0.3">
      <c r="D490" s="23"/>
      <c r="O490" s="98"/>
      <c r="U490" s="34"/>
      <c r="V490" s="34"/>
    </row>
    <row r="491" spans="4:22" s="2" customFormat="1" ht="27" customHeight="1" x14ac:dyDescent="0.3">
      <c r="D491" s="23"/>
      <c r="O491" s="98"/>
      <c r="U491" s="34"/>
      <c r="V491" s="34"/>
    </row>
    <row r="492" spans="4:22" s="2" customFormat="1" ht="27" customHeight="1" x14ac:dyDescent="0.3">
      <c r="D492" s="23"/>
      <c r="O492" s="98"/>
      <c r="U492" s="34"/>
      <c r="V492" s="34"/>
    </row>
    <row r="493" spans="4:22" s="2" customFormat="1" ht="27" customHeight="1" x14ac:dyDescent="0.3">
      <c r="D493" s="23"/>
      <c r="O493" s="98"/>
      <c r="U493" s="34"/>
      <c r="V493" s="34"/>
    </row>
    <row r="494" spans="4:22" s="2" customFormat="1" ht="27" customHeight="1" x14ac:dyDescent="0.3">
      <c r="D494" s="23"/>
      <c r="O494" s="98"/>
      <c r="U494" s="34"/>
      <c r="V494" s="34"/>
    </row>
    <row r="495" spans="4:22" s="2" customFormat="1" ht="27" customHeight="1" x14ac:dyDescent="0.3">
      <c r="D495" s="23"/>
      <c r="O495" s="98"/>
      <c r="U495" s="34"/>
      <c r="V495" s="34"/>
    </row>
    <row r="496" spans="4:22" s="2" customFormat="1" ht="27" customHeight="1" x14ac:dyDescent="0.3">
      <c r="D496" s="23"/>
      <c r="O496" s="98"/>
      <c r="U496" s="34"/>
      <c r="V496" s="34"/>
    </row>
    <row r="497" spans="4:22" s="2" customFormat="1" ht="27" customHeight="1" x14ac:dyDescent="0.3">
      <c r="D497" s="23"/>
      <c r="O497" s="98"/>
      <c r="U497" s="34"/>
      <c r="V497" s="34"/>
    </row>
    <row r="498" spans="4:22" s="2" customFormat="1" ht="27" customHeight="1" x14ac:dyDescent="0.3">
      <c r="D498" s="23"/>
      <c r="O498" s="98"/>
      <c r="U498" s="34"/>
      <c r="V498" s="34"/>
    </row>
    <row r="499" spans="4:22" s="2" customFormat="1" ht="27" customHeight="1" x14ac:dyDescent="0.3">
      <c r="D499" s="23"/>
      <c r="O499" s="98"/>
      <c r="U499" s="34"/>
      <c r="V499" s="34"/>
    </row>
    <row r="500" spans="4:22" s="2" customFormat="1" ht="27" customHeight="1" x14ac:dyDescent="0.3">
      <c r="D500" s="23"/>
      <c r="O500" s="98"/>
      <c r="U500" s="34"/>
      <c r="V500" s="34"/>
    </row>
    <row r="501" spans="4:22" s="2" customFormat="1" ht="27" customHeight="1" x14ac:dyDescent="0.3">
      <c r="D501" s="23"/>
      <c r="O501" s="98"/>
      <c r="U501" s="34"/>
      <c r="V501" s="34"/>
    </row>
    <row r="502" spans="4:22" s="2" customFormat="1" ht="27" customHeight="1" x14ac:dyDescent="0.3">
      <c r="D502" s="23"/>
      <c r="O502" s="98"/>
      <c r="U502" s="34"/>
      <c r="V502" s="34"/>
    </row>
    <row r="503" spans="4:22" s="2" customFormat="1" ht="27" customHeight="1" x14ac:dyDescent="0.3">
      <c r="D503" s="23"/>
      <c r="O503" s="98"/>
      <c r="U503" s="34"/>
      <c r="V503" s="34"/>
    </row>
    <row r="504" spans="4:22" s="2" customFormat="1" ht="27" customHeight="1" x14ac:dyDescent="0.3">
      <c r="D504" s="23"/>
      <c r="O504" s="98"/>
      <c r="U504" s="34"/>
      <c r="V504" s="34"/>
    </row>
    <row r="505" spans="4:22" s="2" customFormat="1" ht="27" customHeight="1" x14ac:dyDescent="0.3">
      <c r="D505" s="23"/>
      <c r="O505" s="98"/>
      <c r="U505" s="34"/>
      <c r="V505" s="34"/>
    </row>
    <row r="506" spans="4:22" s="2" customFormat="1" ht="27" customHeight="1" x14ac:dyDescent="0.3">
      <c r="D506" s="23"/>
      <c r="O506" s="98"/>
      <c r="U506" s="34"/>
      <c r="V506" s="34"/>
    </row>
    <row r="507" spans="4:22" s="2" customFormat="1" ht="27" customHeight="1" x14ac:dyDescent="0.3">
      <c r="D507" s="23"/>
      <c r="O507" s="98"/>
      <c r="U507" s="34"/>
      <c r="V507" s="34"/>
    </row>
    <row r="508" spans="4:22" s="2" customFormat="1" ht="27" customHeight="1" x14ac:dyDescent="0.3">
      <c r="D508" s="23"/>
      <c r="O508" s="98"/>
      <c r="U508" s="34"/>
      <c r="V508" s="34"/>
    </row>
    <row r="509" spans="4:22" s="2" customFormat="1" ht="27" customHeight="1" x14ac:dyDescent="0.3">
      <c r="D509" s="23"/>
      <c r="O509" s="98"/>
      <c r="U509" s="34"/>
      <c r="V509" s="34"/>
    </row>
    <row r="510" spans="4:22" s="2" customFormat="1" ht="27" customHeight="1" x14ac:dyDescent="0.3">
      <c r="D510" s="23"/>
      <c r="O510" s="98"/>
      <c r="U510" s="34"/>
      <c r="V510" s="34"/>
    </row>
    <row r="511" spans="4:22" s="2" customFormat="1" ht="27" customHeight="1" x14ac:dyDescent="0.3">
      <c r="D511" s="23"/>
      <c r="O511" s="98"/>
      <c r="U511" s="34"/>
      <c r="V511" s="34"/>
    </row>
    <row r="512" spans="4:22" s="2" customFormat="1" ht="27" customHeight="1" x14ac:dyDescent="0.3">
      <c r="D512" s="23"/>
      <c r="O512" s="98"/>
      <c r="U512" s="34"/>
      <c r="V512" s="34"/>
    </row>
    <row r="513" spans="4:22" s="2" customFormat="1" ht="27" customHeight="1" x14ac:dyDescent="0.3">
      <c r="D513" s="23"/>
      <c r="O513" s="98"/>
      <c r="U513" s="34"/>
      <c r="V513" s="34"/>
    </row>
    <row r="514" spans="4:22" s="2" customFormat="1" ht="27" customHeight="1" x14ac:dyDescent="0.3">
      <c r="D514" s="23"/>
      <c r="O514" s="98"/>
      <c r="U514" s="34"/>
      <c r="V514" s="34"/>
    </row>
    <row r="515" spans="4:22" s="2" customFormat="1" ht="27" customHeight="1" x14ac:dyDescent="0.3">
      <c r="D515" s="23"/>
      <c r="O515" s="98"/>
      <c r="U515" s="34"/>
      <c r="V515" s="34"/>
    </row>
    <row r="516" spans="4:22" s="2" customFormat="1" ht="27" customHeight="1" x14ac:dyDescent="0.3">
      <c r="D516" s="23"/>
      <c r="O516" s="98"/>
      <c r="U516" s="34"/>
      <c r="V516" s="34"/>
    </row>
    <row r="517" spans="4:22" s="2" customFormat="1" ht="27" customHeight="1" x14ac:dyDescent="0.3">
      <c r="D517" s="23"/>
      <c r="O517" s="98"/>
      <c r="U517" s="34"/>
      <c r="V517" s="34"/>
    </row>
    <row r="518" spans="4:22" s="2" customFormat="1" ht="27" customHeight="1" x14ac:dyDescent="0.3">
      <c r="D518" s="23"/>
      <c r="O518" s="98"/>
      <c r="U518" s="34"/>
      <c r="V518" s="34"/>
    </row>
    <row r="519" spans="4:22" s="2" customFormat="1" ht="27" customHeight="1" x14ac:dyDescent="0.3">
      <c r="D519" s="23"/>
      <c r="O519" s="98"/>
      <c r="U519" s="34"/>
      <c r="V519" s="34"/>
    </row>
    <row r="520" spans="4:22" s="2" customFormat="1" ht="27" customHeight="1" x14ac:dyDescent="0.3">
      <c r="D520" s="23"/>
      <c r="O520" s="98"/>
      <c r="U520" s="34"/>
      <c r="V520" s="34"/>
    </row>
    <row r="521" spans="4:22" s="2" customFormat="1" ht="27" customHeight="1" x14ac:dyDescent="0.3">
      <c r="D521" s="23"/>
      <c r="O521" s="98"/>
      <c r="U521" s="34"/>
      <c r="V521" s="34"/>
    </row>
    <row r="522" spans="4:22" s="2" customFormat="1" ht="27" customHeight="1" x14ac:dyDescent="0.3">
      <c r="D522" s="23"/>
      <c r="O522" s="98"/>
      <c r="U522" s="34"/>
      <c r="V522" s="34"/>
    </row>
    <row r="523" spans="4:22" s="2" customFormat="1" ht="27" customHeight="1" x14ac:dyDescent="0.3">
      <c r="D523" s="23"/>
      <c r="O523" s="98"/>
      <c r="U523" s="34"/>
      <c r="V523" s="34"/>
    </row>
    <row r="524" spans="4:22" s="2" customFormat="1" ht="27" customHeight="1" x14ac:dyDescent="0.3">
      <c r="D524" s="23"/>
      <c r="O524" s="98"/>
      <c r="U524" s="34"/>
      <c r="V524" s="34"/>
    </row>
    <row r="525" spans="4:22" s="2" customFormat="1" ht="27" customHeight="1" x14ac:dyDescent="0.3">
      <c r="D525" s="23"/>
      <c r="O525" s="98"/>
      <c r="U525" s="34"/>
      <c r="V525" s="34"/>
    </row>
    <row r="526" spans="4:22" s="2" customFormat="1" ht="27" customHeight="1" x14ac:dyDescent="0.3">
      <c r="D526" s="23"/>
      <c r="O526" s="98"/>
      <c r="U526" s="34"/>
      <c r="V526" s="34"/>
    </row>
    <row r="527" spans="4:22" s="2" customFormat="1" ht="27" customHeight="1" x14ac:dyDescent="0.3">
      <c r="D527" s="23"/>
      <c r="O527" s="98"/>
      <c r="U527" s="34"/>
      <c r="V527" s="34"/>
    </row>
    <row r="528" spans="4:22" s="2" customFormat="1" ht="27" customHeight="1" x14ac:dyDescent="0.3">
      <c r="D528" s="23"/>
      <c r="O528" s="98"/>
      <c r="U528" s="34"/>
      <c r="V528" s="34"/>
    </row>
    <row r="529" spans="4:22" s="2" customFormat="1" ht="27" customHeight="1" x14ac:dyDescent="0.3">
      <c r="D529" s="23"/>
      <c r="O529" s="98"/>
      <c r="U529" s="34"/>
      <c r="V529" s="34"/>
    </row>
    <row r="530" spans="4:22" s="2" customFormat="1" ht="27" customHeight="1" x14ac:dyDescent="0.3">
      <c r="D530" s="23"/>
      <c r="O530" s="98"/>
      <c r="U530" s="34"/>
      <c r="V530" s="34"/>
    </row>
    <row r="531" spans="4:22" s="2" customFormat="1" ht="27" customHeight="1" x14ac:dyDescent="0.3">
      <c r="D531" s="23"/>
      <c r="O531" s="98"/>
      <c r="U531" s="34"/>
      <c r="V531" s="34"/>
    </row>
    <row r="532" spans="4:22" s="2" customFormat="1" ht="27" customHeight="1" x14ac:dyDescent="0.3">
      <c r="D532" s="23"/>
      <c r="O532" s="98"/>
      <c r="U532" s="34"/>
      <c r="V532" s="34"/>
    </row>
    <row r="533" spans="4:22" s="2" customFormat="1" ht="27" customHeight="1" x14ac:dyDescent="0.3">
      <c r="D533" s="23"/>
      <c r="O533" s="98"/>
      <c r="U533" s="34"/>
      <c r="V533" s="34"/>
    </row>
    <row r="534" spans="4:22" s="2" customFormat="1" ht="27" customHeight="1" x14ac:dyDescent="0.3">
      <c r="D534" s="23"/>
      <c r="O534" s="98"/>
      <c r="U534" s="34"/>
      <c r="V534" s="34"/>
    </row>
    <row r="535" spans="4:22" s="2" customFormat="1" ht="27" customHeight="1" x14ac:dyDescent="0.3">
      <c r="D535" s="23"/>
      <c r="O535" s="98"/>
      <c r="U535" s="34"/>
      <c r="V535" s="34"/>
    </row>
    <row r="536" spans="4:22" s="2" customFormat="1" ht="27" customHeight="1" x14ac:dyDescent="0.3">
      <c r="D536" s="23"/>
      <c r="O536" s="98"/>
      <c r="U536" s="34"/>
      <c r="V536" s="34"/>
    </row>
    <row r="537" spans="4:22" s="2" customFormat="1" ht="27" customHeight="1" x14ac:dyDescent="0.3">
      <c r="D537" s="23"/>
      <c r="O537" s="98"/>
      <c r="U537" s="34"/>
      <c r="V537" s="34"/>
    </row>
    <row r="538" spans="4:22" s="2" customFormat="1" ht="27" customHeight="1" x14ac:dyDescent="0.3">
      <c r="D538" s="23"/>
      <c r="O538" s="98"/>
      <c r="U538" s="34"/>
      <c r="V538" s="34"/>
    </row>
    <row r="539" spans="4:22" s="2" customFormat="1" ht="27" customHeight="1" x14ac:dyDescent="0.3">
      <c r="D539" s="23"/>
      <c r="O539" s="98"/>
      <c r="U539" s="34"/>
      <c r="V539" s="34"/>
    </row>
    <row r="540" spans="4:22" s="2" customFormat="1" ht="27" customHeight="1" x14ac:dyDescent="0.3">
      <c r="D540" s="23"/>
      <c r="O540" s="98"/>
      <c r="U540" s="34"/>
      <c r="V540" s="34"/>
    </row>
    <row r="541" spans="4:22" s="2" customFormat="1" ht="27" customHeight="1" x14ac:dyDescent="0.3">
      <c r="D541" s="23"/>
      <c r="O541" s="98"/>
      <c r="U541" s="34"/>
      <c r="V541" s="34"/>
    </row>
    <row r="542" spans="4:22" s="2" customFormat="1" ht="27" customHeight="1" x14ac:dyDescent="0.3">
      <c r="D542" s="23"/>
      <c r="O542" s="98"/>
      <c r="U542" s="34"/>
      <c r="V542" s="34"/>
    </row>
    <row r="543" spans="4:22" s="2" customFormat="1" ht="27" customHeight="1" x14ac:dyDescent="0.3">
      <c r="D543" s="23"/>
      <c r="O543" s="98"/>
      <c r="U543" s="34"/>
      <c r="V543" s="34"/>
    </row>
    <row r="544" spans="4:22" s="2" customFormat="1" ht="27" customHeight="1" x14ac:dyDescent="0.3">
      <c r="D544" s="23"/>
      <c r="O544" s="98"/>
      <c r="U544" s="34"/>
      <c r="V544" s="34"/>
    </row>
    <row r="545" spans="4:22" s="2" customFormat="1" ht="27" customHeight="1" x14ac:dyDescent="0.3">
      <c r="D545" s="23"/>
      <c r="O545" s="98"/>
      <c r="U545" s="34"/>
      <c r="V545" s="34"/>
    </row>
    <row r="546" spans="4:22" s="2" customFormat="1" ht="27" customHeight="1" x14ac:dyDescent="0.3">
      <c r="D546" s="23"/>
      <c r="O546" s="98"/>
      <c r="U546" s="34"/>
      <c r="V546" s="34"/>
    </row>
    <row r="547" spans="4:22" s="2" customFormat="1" ht="27" customHeight="1" x14ac:dyDescent="0.3">
      <c r="D547" s="23"/>
      <c r="O547" s="98"/>
      <c r="U547" s="34"/>
      <c r="V547" s="34"/>
    </row>
    <row r="548" spans="4:22" s="2" customFormat="1" ht="27" customHeight="1" x14ac:dyDescent="0.3">
      <c r="D548" s="23"/>
      <c r="O548" s="98"/>
      <c r="U548" s="34"/>
      <c r="V548" s="34"/>
    </row>
    <row r="549" spans="4:22" s="2" customFormat="1" ht="27" customHeight="1" x14ac:dyDescent="0.3">
      <c r="D549" s="23"/>
      <c r="O549" s="98"/>
      <c r="U549" s="34"/>
      <c r="V549" s="34"/>
    </row>
    <row r="550" spans="4:22" s="2" customFormat="1" ht="27" customHeight="1" x14ac:dyDescent="0.3">
      <c r="D550" s="23"/>
      <c r="O550" s="98"/>
      <c r="U550" s="34"/>
      <c r="V550" s="34"/>
    </row>
    <row r="551" spans="4:22" s="2" customFormat="1" ht="27" customHeight="1" x14ac:dyDescent="0.3">
      <c r="D551" s="23"/>
      <c r="O551" s="98"/>
      <c r="U551" s="34"/>
      <c r="V551" s="34"/>
    </row>
    <row r="552" spans="4:22" s="2" customFormat="1" ht="27" customHeight="1" x14ac:dyDescent="0.3">
      <c r="D552" s="23"/>
      <c r="O552" s="98"/>
      <c r="U552" s="34"/>
      <c r="V552" s="34"/>
    </row>
    <row r="553" spans="4:22" s="2" customFormat="1" ht="27" customHeight="1" x14ac:dyDescent="0.3">
      <c r="D553" s="23"/>
      <c r="O553" s="98"/>
      <c r="U553" s="34"/>
      <c r="V553" s="34"/>
    </row>
    <row r="554" spans="4:22" s="2" customFormat="1" ht="27" customHeight="1" x14ac:dyDescent="0.3">
      <c r="D554" s="23"/>
      <c r="O554" s="98"/>
      <c r="U554" s="34"/>
      <c r="V554" s="34"/>
    </row>
    <row r="555" spans="4:22" s="2" customFormat="1" ht="27" customHeight="1" x14ac:dyDescent="0.3">
      <c r="D555" s="23"/>
      <c r="O555" s="98"/>
      <c r="U555" s="34"/>
      <c r="V555" s="34"/>
    </row>
    <row r="556" spans="4:22" s="2" customFormat="1" ht="27" customHeight="1" x14ac:dyDescent="0.3">
      <c r="D556" s="23"/>
      <c r="O556" s="98"/>
      <c r="U556" s="34"/>
      <c r="V556" s="34"/>
    </row>
    <row r="557" spans="4:22" s="2" customFormat="1" ht="27" customHeight="1" x14ac:dyDescent="0.3">
      <c r="D557" s="23"/>
      <c r="O557" s="98"/>
      <c r="U557" s="34"/>
      <c r="V557" s="34"/>
    </row>
    <row r="558" spans="4:22" s="2" customFormat="1" ht="27" customHeight="1" x14ac:dyDescent="0.3">
      <c r="D558" s="23"/>
      <c r="O558" s="98"/>
      <c r="U558" s="34"/>
      <c r="V558" s="34"/>
    </row>
    <row r="559" spans="4:22" s="2" customFormat="1" ht="27" customHeight="1" x14ac:dyDescent="0.3">
      <c r="D559" s="23"/>
      <c r="O559" s="98"/>
      <c r="U559" s="34"/>
      <c r="V559" s="34"/>
    </row>
    <row r="560" spans="4:22" s="2" customFormat="1" ht="27" customHeight="1" x14ac:dyDescent="0.3">
      <c r="D560" s="23"/>
      <c r="O560" s="98"/>
      <c r="U560" s="34"/>
      <c r="V560" s="34"/>
    </row>
    <row r="561" spans="4:22" s="2" customFormat="1" ht="27" customHeight="1" x14ac:dyDescent="0.3">
      <c r="D561" s="23"/>
      <c r="O561" s="98"/>
      <c r="U561" s="34"/>
      <c r="V561" s="34"/>
    </row>
    <row r="562" spans="4:22" s="2" customFormat="1" ht="27" customHeight="1" x14ac:dyDescent="0.3">
      <c r="D562" s="23"/>
      <c r="O562" s="98"/>
      <c r="U562" s="34"/>
      <c r="V562" s="34"/>
    </row>
    <row r="563" spans="4:22" s="2" customFormat="1" ht="27" customHeight="1" x14ac:dyDescent="0.3">
      <c r="D563" s="23"/>
      <c r="O563" s="98"/>
      <c r="U563" s="34"/>
      <c r="V563" s="34"/>
    </row>
    <row r="564" spans="4:22" s="2" customFormat="1" ht="27" customHeight="1" x14ac:dyDescent="0.3">
      <c r="D564" s="23"/>
      <c r="O564" s="98"/>
      <c r="U564" s="34"/>
      <c r="V564" s="34"/>
    </row>
    <row r="565" spans="4:22" s="2" customFormat="1" ht="27" customHeight="1" x14ac:dyDescent="0.3">
      <c r="D565" s="23"/>
      <c r="O565" s="98"/>
      <c r="U565" s="34"/>
      <c r="V565" s="34"/>
    </row>
    <row r="566" spans="4:22" s="2" customFormat="1" ht="27" customHeight="1" x14ac:dyDescent="0.3">
      <c r="D566" s="23"/>
      <c r="O566" s="98"/>
      <c r="U566" s="34"/>
      <c r="V566" s="34"/>
    </row>
    <row r="567" spans="4:22" s="2" customFormat="1" ht="27" customHeight="1" x14ac:dyDescent="0.3">
      <c r="D567" s="23"/>
      <c r="O567" s="98"/>
      <c r="U567" s="34"/>
      <c r="V567" s="34"/>
    </row>
    <row r="568" spans="4:22" s="2" customFormat="1" ht="27" customHeight="1" x14ac:dyDescent="0.3">
      <c r="D568" s="23"/>
      <c r="O568" s="98"/>
      <c r="U568" s="34"/>
      <c r="V568" s="34"/>
    </row>
    <row r="569" spans="4:22" s="2" customFormat="1" ht="27" customHeight="1" x14ac:dyDescent="0.3">
      <c r="D569" s="23"/>
      <c r="O569" s="98"/>
      <c r="U569" s="34"/>
      <c r="V569" s="34"/>
    </row>
    <row r="570" spans="4:22" s="2" customFormat="1" ht="27" customHeight="1" x14ac:dyDescent="0.3">
      <c r="D570" s="23"/>
      <c r="O570" s="98"/>
      <c r="U570" s="34"/>
      <c r="V570" s="34"/>
    </row>
    <row r="571" spans="4:22" s="2" customFormat="1" ht="27" customHeight="1" x14ac:dyDescent="0.3">
      <c r="D571" s="23"/>
      <c r="O571" s="98"/>
      <c r="U571" s="34"/>
      <c r="V571" s="34"/>
    </row>
    <row r="572" spans="4:22" s="2" customFormat="1" ht="27" customHeight="1" x14ac:dyDescent="0.3">
      <c r="D572" s="23"/>
      <c r="O572" s="98"/>
      <c r="U572" s="34"/>
      <c r="V572" s="34"/>
    </row>
    <row r="573" spans="4:22" s="2" customFormat="1" ht="27" customHeight="1" x14ac:dyDescent="0.3">
      <c r="D573" s="23"/>
      <c r="O573" s="98"/>
      <c r="U573" s="34"/>
      <c r="V573" s="34"/>
    </row>
    <row r="574" spans="4:22" s="2" customFormat="1" ht="27" customHeight="1" x14ac:dyDescent="0.3">
      <c r="D574" s="23"/>
      <c r="O574" s="98"/>
      <c r="U574" s="34"/>
      <c r="V574" s="34"/>
    </row>
    <row r="575" spans="4:22" s="2" customFormat="1" ht="27" customHeight="1" x14ac:dyDescent="0.3">
      <c r="D575" s="23"/>
      <c r="O575" s="98"/>
      <c r="U575" s="34"/>
      <c r="V575" s="34"/>
    </row>
    <row r="576" spans="4:22" s="2" customFormat="1" ht="27" customHeight="1" x14ac:dyDescent="0.3">
      <c r="D576" s="23"/>
      <c r="O576" s="98"/>
      <c r="U576" s="34"/>
      <c r="V576" s="34"/>
    </row>
    <row r="577" spans="4:22" s="2" customFormat="1" ht="27" customHeight="1" x14ac:dyDescent="0.3">
      <c r="D577" s="23"/>
      <c r="O577" s="98"/>
      <c r="U577" s="34"/>
      <c r="V577" s="34"/>
    </row>
    <row r="578" spans="4:22" s="2" customFormat="1" ht="27" customHeight="1" x14ac:dyDescent="0.3">
      <c r="D578" s="23"/>
      <c r="O578" s="98"/>
      <c r="U578" s="34"/>
      <c r="V578" s="34"/>
    </row>
    <row r="579" spans="4:22" s="2" customFormat="1" ht="27" customHeight="1" x14ac:dyDescent="0.3">
      <c r="D579" s="23"/>
      <c r="O579" s="98"/>
      <c r="U579" s="34"/>
      <c r="V579" s="34"/>
    </row>
    <row r="580" spans="4:22" s="2" customFormat="1" ht="27" customHeight="1" x14ac:dyDescent="0.3">
      <c r="D580" s="23"/>
      <c r="O580" s="98"/>
      <c r="U580" s="34"/>
      <c r="V580" s="34"/>
    </row>
    <row r="581" spans="4:22" s="2" customFormat="1" ht="27" customHeight="1" x14ac:dyDescent="0.3">
      <c r="D581" s="23"/>
      <c r="O581" s="98"/>
      <c r="U581" s="34"/>
      <c r="V581" s="34"/>
    </row>
    <row r="582" spans="4:22" s="2" customFormat="1" ht="27" customHeight="1" x14ac:dyDescent="0.3">
      <c r="D582" s="23"/>
      <c r="O582" s="98"/>
      <c r="U582" s="34"/>
      <c r="V582" s="34"/>
    </row>
    <row r="583" spans="4:22" s="2" customFormat="1" ht="27" customHeight="1" x14ac:dyDescent="0.3">
      <c r="D583" s="23"/>
      <c r="O583" s="98"/>
      <c r="U583" s="34"/>
      <c r="V583" s="34"/>
    </row>
    <row r="584" spans="4:22" s="2" customFormat="1" ht="27" customHeight="1" x14ac:dyDescent="0.3">
      <c r="D584" s="23"/>
      <c r="O584" s="98"/>
      <c r="U584" s="34"/>
      <c r="V584" s="34"/>
    </row>
    <row r="585" spans="4:22" s="2" customFormat="1" ht="27" customHeight="1" x14ac:dyDescent="0.3">
      <c r="D585" s="23"/>
      <c r="O585" s="98"/>
      <c r="U585" s="34"/>
      <c r="V585" s="34"/>
    </row>
    <row r="586" spans="4:22" s="2" customFormat="1" ht="27" customHeight="1" x14ac:dyDescent="0.3">
      <c r="D586" s="23"/>
      <c r="O586" s="98"/>
      <c r="U586" s="34"/>
      <c r="V586" s="34"/>
    </row>
    <row r="587" spans="4:22" s="2" customFormat="1" ht="27" customHeight="1" x14ac:dyDescent="0.3">
      <c r="D587" s="23"/>
      <c r="O587" s="98"/>
      <c r="U587" s="34"/>
      <c r="V587" s="34"/>
    </row>
    <row r="588" spans="4:22" s="2" customFormat="1" ht="27" customHeight="1" x14ac:dyDescent="0.3">
      <c r="D588" s="23"/>
      <c r="O588" s="98"/>
      <c r="U588" s="34"/>
      <c r="V588" s="34"/>
    </row>
    <row r="589" spans="4:22" s="2" customFormat="1" ht="27" customHeight="1" x14ac:dyDescent="0.3">
      <c r="D589" s="23"/>
      <c r="O589" s="98"/>
      <c r="U589" s="34"/>
      <c r="V589" s="34"/>
    </row>
    <row r="590" spans="4:22" s="2" customFormat="1" ht="27" customHeight="1" x14ac:dyDescent="0.3">
      <c r="D590" s="23"/>
      <c r="O590" s="98"/>
      <c r="U590" s="34"/>
      <c r="V590" s="34"/>
    </row>
    <row r="591" spans="4:22" s="2" customFormat="1" ht="27" customHeight="1" x14ac:dyDescent="0.3">
      <c r="D591" s="23"/>
      <c r="O591" s="98"/>
      <c r="U591" s="34"/>
      <c r="V591" s="34"/>
    </row>
    <row r="592" spans="4:22" s="2" customFormat="1" ht="27" customHeight="1" x14ac:dyDescent="0.3">
      <c r="D592" s="23"/>
      <c r="O592" s="98"/>
      <c r="U592" s="34"/>
      <c r="V592" s="34"/>
    </row>
    <row r="593" spans="4:22" s="2" customFormat="1" ht="27" customHeight="1" x14ac:dyDescent="0.3">
      <c r="D593" s="23"/>
      <c r="O593" s="98"/>
      <c r="U593" s="34"/>
      <c r="V593" s="34"/>
    </row>
    <row r="594" spans="4:22" s="2" customFormat="1" ht="27" customHeight="1" x14ac:dyDescent="0.3">
      <c r="D594" s="23"/>
      <c r="O594" s="98"/>
      <c r="U594" s="34"/>
      <c r="V594" s="34"/>
    </row>
    <row r="595" spans="4:22" s="2" customFormat="1" ht="27" customHeight="1" x14ac:dyDescent="0.3">
      <c r="D595" s="23"/>
      <c r="O595" s="98"/>
      <c r="U595" s="34"/>
      <c r="V595" s="34"/>
    </row>
    <row r="596" spans="4:22" s="2" customFormat="1" ht="27" customHeight="1" x14ac:dyDescent="0.3">
      <c r="D596" s="23"/>
      <c r="O596" s="98"/>
      <c r="U596" s="34"/>
      <c r="V596" s="34"/>
    </row>
    <row r="597" spans="4:22" s="2" customFormat="1" ht="27" customHeight="1" x14ac:dyDescent="0.3">
      <c r="D597" s="23"/>
      <c r="O597" s="98"/>
      <c r="U597" s="34"/>
      <c r="V597" s="34"/>
    </row>
    <row r="598" spans="4:22" s="2" customFormat="1" ht="27" customHeight="1" x14ac:dyDescent="0.3">
      <c r="D598" s="23"/>
      <c r="O598" s="98"/>
      <c r="U598" s="34"/>
      <c r="V598" s="34"/>
    </row>
    <row r="599" spans="4:22" s="2" customFormat="1" ht="27" customHeight="1" x14ac:dyDescent="0.3">
      <c r="D599" s="23"/>
      <c r="O599" s="98"/>
      <c r="U599" s="34"/>
      <c r="V599" s="34"/>
    </row>
    <row r="600" spans="4:22" s="2" customFormat="1" ht="27" customHeight="1" x14ac:dyDescent="0.3">
      <c r="D600" s="23"/>
      <c r="O600" s="98"/>
      <c r="U600" s="34"/>
      <c r="V600" s="34"/>
    </row>
    <row r="601" spans="4:22" s="2" customFormat="1" ht="27" customHeight="1" x14ac:dyDescent="0.3">
      <c r="D601" s="23"/>
      <c r="O601" s="98"/>
      <c r="U601" s="34"/>
      <c r="V601" s="34"/>
    </row>
    <row r="602" spans="4:22" s="2" customFormat="1" ht="27" customHeight="1" x14ac:dyDescent="0.3">
      <c r="D602" s="23"/>
      <c r="O602" s="98"/>
      <c r="U602" s="34"/>
      <c r="V602" s="34"/>
    </row>
    <row r="603" spans="4:22" s="2" customFormat="1" ht="27" customHeight="1" x14ac:dyDescent="0.3">
      <c r="D603" s="23"/>
      <c r="O603" s="98"/>
      <c r="U603" s="34"/>
      <c r="V603" s="34"/>
    </row>
    <row r="604" spans="4:22" s="2" customFormat="1" ht="27" customHeight="1" x14ac:dyDescent="0.3">
      <c r="D604" s="23"/>
      <c r="O604" s="98"/>
      <c r="U604" s="34"/>
      <c r="V604" s="34"/>
    </row>
    <row r="605" spans="4:22" s="2" customFormat="1" ht="27" customHeight="1" x14ac:dyDescent="0.3">
      <c r="D605" s="23"/>
      <c r="O605" s="98"/>
      <c r="U605" s="34"/>
      <c r="V605" s="34"/>
    </row>
    <row r="606" spans="4:22" s="2" customFormat="1" ht="27" customHeight="1" x14ac:dyDescent="0.3">
      <c r="D606" s="23"/>
      <c r="O606" s="98"/>
      <c r="U606" s="34"/>
      <c r="V606" s="34"/>
    </row>
    <row r="607" spans="4:22" s="2" customFormat="1" ht="27" customHeight="1" x14ac:dyDescent="0.3">
      <c r="D607" s="23"/>
      <c r="O607" s="98"/>
      <c r="U607" s="34"/>
      <c r="V607" s="34"/>
    </row>
    <row r="608" spans="4:22" s="2" customFormat="1" ht="27" customHeight="1" x14ac:dyDescent="0.3">
      <c r="D608" s="23"/>
      <c r="O608" s="98"/>
      <c r="U608" s="34"/>
      <c r="V608" s="34"/>
    </row>
    <row r="609" spans="4:22" s="2" customFormat="1" ht="27" customHeight="1" x14ac:dyDescent="0.3">
      <c r="D609" s="23"/>
      <c r="O609" s="98"/>
      <c r="U609" s="34"/>
      <c r="V609" s="34"/>
    </row>
    <row r="610" spans="4:22" s="2" customFormat="1" ht="27" customHeight="1" x14ac:dyDescent="0.3">
      <c r="D610" s="23"/>
      <c r="O610" s="98"/>
      <c r="U610" s="34"/>
      <c r="V610" s="34"/>
    </row>
    <row r="611" spans="4:22" s="2" customFormat="1" ht="27" customHeight="1" x14ac:dyDescent="0.3">
      <c r="D611" s="23"/>
      <c r="O611" s="98"/>
      <c r="U611" s="34"/>
      <c r="V611" s="34"/>
    </row>
    <row r="612" spans="4:22" s="2" customFormat="1" ht="27" customHeight="1" x14ac:dyDescent="0.3">
      <c r="D612" s="23"/>
      <c r="O612" s="98"/>
      <c r="U612" s="34"/>
      <c r="V612" s="34"/>
    </row>
    <row r="613" spans="4:22" s="2" customFormat="1" ht="27" customHeight="1" x14ac:dyDescent="0.3">
      <c r="D613" s="23"/>
      <c r="O613" s="98"/>
      <c r="U613" s="34"/>
      <c r="V613" s="34"/>
    </row>
    <row r="614" spans="4:22" s="2" customFormat="1" ht="27" customHeight="1" x14ac:dyDescent="0.3">
      <c r="D614" s="23"/>
      <c r="O614" s="98"/>
      <c r="U614" s="34"/>
      <c r="V614" s="34"/>
    </row>
    <row r="615" spans="4:22" s="2" customFormat="1" ht="27" customHeight="1" x14ac:dyDescent="0.3">
      <c r="D615" s="23"/>
      <c r="O615" s="98"/>
      <c r="U615" s="34"/>
      <c r="V615" s="34"/>
    </row>
    <row r="616" spans="4:22" s="2" customFormat="1" ht="27" customHeight="1" x14ac:dyDescent="0.3">
      <c r="D616" s="23"/>
      <c r="O616" s="98"/>
      <c r="U616" s="34"/>
      <c r="V616" s="34"/>
    </row>
    <row r="617" spans="4:22" s="2" customFormat="1" ht="27" customHeight="1" x14ac:dyDescent="0.3">
      <c r="D617" s="23"/>
      <c r="O617" s="98"/>
      <c r="U617" s="34"/>
      <c r="V617" s="34"/>
    </row>
    <row r="618" spans="4:22" s="2" customFormat="1" ht="27" customHeight="1" x14ac:dyDescent="0.3">
      <c r="D618" s="23"/>
      <c r="O618" s="98"/>
      <c r="U618" s="34"/>
      <c r="V618" s="34"/>
    </row>
    <row r="619" spans="4:22" s="2" customFormat="1" ht="27" customHeight="1" x14ac:dyDescent="0.3">
      <c r="D619" s="23"/>
      <c r="O619" s="98"/>
      <c r="U619" s="34"/>
      <c r="V619" s="34"/>
    </row>
    <row r="620" spans="4:22" s="2" customFormat="1" ht="27" customHeight="1" x14ac:dyDescent="0.3">
      <c r="D620" s="23"/>
      <c r="O620" s="98"/>
      <c r="U620" s="34"/>
      <c r="V620" s="34"/>
    </row>
    <row r="621" spans="4:22" s="2" customFormat="1" ht="27" customHeight="1" x14ac:dyDescent="0.3">
      <c r="D621" s="23"/>
      <c r="O621" s="98"/>
      <c r="U621" s="34"/>
      <c r="V621" s="34"/>
    </row>
    <row r="622" spans="4:22" s="2" customFormat="1" ht="27" customHeight="1" x14ac:dyDescent="0.3">
      <c r="D622" s="23"/>
      <c r="O622" s="98"/>
      <c r="U622" s="34"/>
      <c r="V622" s="34"/>
    </row>
    <row r="623" spans="4:22" s="2" customFormat="1" ht="27" customHeight="1" x14ac:dyDescent="0.3">
      <c r="D623" s="23"/>
      <c r="O623" s="98"/>
      <c r="U623" s="34"/>
      <c r="V623" s="34"/>
    </row>
    <row r="624" spans="4:22" s="2" customFormat="1" ht="27" customHeight="1" x14ac:dyDescent="0.3">
      <c r="D624" s="23"/>
      <c r="O624" s="98"/>
      <c r="U624" s="34"/>
      <c r="V624" s="34"/>
    </row>
    <row r="625" spans="4:22" s="2" customFormat="1" ht="27" customHeight="1" x14ac:dyDescent="0.3">
      <c r="D625" s="23"/>
      <c r="O625" s="98"/>
      <c r="U625" s="34"/>
      <c r="V625" s="34"/>
    </row>
    <row r="626" spans="4:22" s="2" customFormat="1" ht="27" customHeight="1" x14ac:dyDescent="0.3">
      <c r="D626" s="23"/>
      <c r="O626" s="98"/>
      <c r="U626" s="34"/>
      <c r="V626" s="34"/>
    </row>
    <row r="627" spans="4:22" s="2" customFormat="1" ht="27" customHeight="1" x14ac:dyDescent="0.3">
      <c r="D627" s="23"/>
      <c r="O627" s="98"/>
      <c r="U627" s="34"/>
      <c r="V627" s="34"/>
    </row>
    <row r="628" spans="4:22" s="2" customFormat="1" ht="27" customHeight="1" x14ac:dyDescent="0.3">
      <c r="D628" s="23"/>
      <c r="O628" s="98"/>
      <c r="U628" s="34"/>
      <c r="V628" s="34"/>
    </row>
    <row r="629" spans="4:22" s="2" customFormat="1" ht="27" customHeight="1" x14ac:dyDescent="0.3">
      <c r="D629" s="23"/>
      <c r="O629" s="98"/>
      <c r="U629" s="34"/>
      <c r="V629" s="34"/>
    </row>
    <row r="630" spans="4:22" s="2" customFormat="1" ht="27" customHeight="1" x14ac:dyDescent="0.3">
      <c r="D630" s="23"/>
      <c r="O630" s="98"/>
      <c r="U630" s="34"/>
      <c r="V630" s="34"/>
    </row>
    <row r="631" spans="4:22" s="2" customFormat="1" ht="27" customHeight="1" x14ac:dyDescent="0.3">
      <c r="D631" s="23"/>
      <c r="O631" s="98"/>
      <c r="U631" s="34"/>
      <c r="V631" s="34"/>
    </row>
    <row r="632" spans="4:22" s="2" customFormat="1" ht="27" customHeight="1" x14ac:dyDescent="0.3">
      <c r="D632" s="23"/>
      <c r="O632" s="98"/>
      <c r="U632" s="34"/>
      <c r="V632" s="34"/>
    </row>
    <row r="633" spans="4:22" s="2" customFormat="1" ht="27" customHeight="1" x14ac:dyDescent="0.3">
      <c r="D633" s="23"/>
      <c r="O633" s="98"/>
      <c r="U633" s="34"/>
      <c r="V633" s="34"/>
    </row>
    <row r="634" spans="4:22" s="2" customFormat="1" ht="27" customHeight="1" x14ac:dyDescent="0.3">
      <c r="D634" s="23"/>
      <c r="O634" s="98"/>
      <c r="U634" s="34"/>
      <c r="V634" s="34"/>
    </row>
    <row r="635" spans="4:22" s="2" customFormat="1" ht="27" customHeight="1" x14ac:dyDescent="0.3">
      <c r="D635" s="23"/>
      <c r="O635" s="98"/>
      <c r="U635" s="34"/>
      <c r="V635" s="34"/>
    </row>
    <row r="636" spans="4:22" s="2" customFormat="1" ht="27" customHeight="1" x14ac:dyDescent="0.3">
      <c r="D636" s="23"/>
      <c r="O636" s="98"/>
      <c r="U636" s="34"/>
      <c r="V636" s="34"/>
    </row>
    <row r="637" spans="4:22" s="2" customFormat="1" ht="27" customHeight="1" x14ac:dyDescent="0.3">
      <c r="D637" s="23"/>
      <c r="O637" s="98"/>
      <c r="U637" s="34"/>
      <c r="V637" s="34"/>
    </row>
    <row r="638" spans="4:22" s="2" customFormat="1" ht="27" customHeight="1" x14ac:dyDescent="0.3">
      <c r="D638" s="23"/>
      <c r="O638" s="98"/>
      <c r="U638" s="34"/>
      <c r="V638" s="34"/>
    </row>
    <row r="639" spans="4:22" s="2" customFormat="1" ht="27" customHeight="1" x14ac:dyDescent="0.3">
      <c r="D639" s="23"/>
      <c r="O639" s="98"/>
      <c r="U639" s="34"/>
      <c r="V639" s="34"/>
    </row>
    <row r="640" spans="4:22" s="2" customFormat="1" ht="27" customHeight="1" x14ac:dyDescent="0.3">
      <c r="D640" s="23"/>
      <c r="O640" s="98"/>
      <c r="U640" s="34"/>
      <c r="V640" s="34"/>
    </row>
    <row r="641" spans="4:22" s="2" customFormat="1" ht="27" customHeight="1" x14ac:dyDescent="0.3">
      <c r="D641" s="23"/>
      <c r="O641" s="98"/>
      <c r="U641" s="34"/>
      <c r="V641" s="34"/>
    </row>
    <row r="642" spans="4:22" s="2" customFormat="1" ht="27" customHeight="1" x14ac:dyDescent="0.3">
      <c r="D642" s="23"/>
      <c r="O642" s="98"/>
      <c r="U642" s="34"/>
      <c r="V642" s="34"/>
    </row>
    <row r="643" spans="4:22" s="2" customFormat="1" ht="27" customHeight="1" x14ac:dyDescent="0.3">
      <c r="D643" s="23"/>
      <c r="O643" s="98"/>
      <c r="U643" s="34"/>
      <c r="V643" s="34"/>
    </row>
    <row r="644" spans="4:22" s="2" customFormat="1" ht="27" customHeight="1" x14ac:dyDescent="0.3">
      <c r="D644" s="23"/>
      <c r="O644" s="98"/>
      <c r="U644" s="34"/>
      <c r="V644" s="34"/>
    </row>
    <row r="645" spans="4:22" s="2" customFormat="1" ht="27" customHeight="1" x14ac:dyDescent="0.3">
      <c r="D645" s="23"/>
      <c r="O645" s="98"/>
      <c r="U645" s="34"/>
      <c r="V645" s="34"/>
    </row>
    <row r="646" spans="4:22" s="2" customFormat="1" ht="27" customHeight="1" x14ac:dyDescent="0.3">
      <c r="D646" s="23"/>
      <c r="O646" s="98"/>
      <c r="U646" s="34"/>
      <c r="V646" s="34"/>
    </row>
    <row r="647" spans="4:22" s="2" customFormat="1" ht="27" customHeight="1" x14ac:dyDescent="0.3">
      <c r="D647" s="23"/>
      <c r="O647" s="98"/>
      <c r="U647" s="34"/>
      <c r="V647" s="34"/>
    </row>
    <row r="648" spans="4:22" s="2" customFormat="1" ht="27" customHeight="1" x14ac:dyDescent="0.3">
      <c r="D648" s="23"/>
      <c r="O648" s="98"/>
      <c r="U648" s="34"/>
      <c r="V648" s="34"/>
    </row>
    <row r="649" spans="4:22" s="2" customFormat="1" ht="27" customHeight="1" x14ac:dyDescent="0.3">
      <c r="D649" s="23"/>
      <c r="O649" s="98"/>
      <c r="U649" s="34"/>
      <c r="V649" s="34"/>
    </row>
    <row r="650" spans="4:22" s="2" customFormat="1" ht="27" customHeight="1" x14ac:dyDescent="0.3">
      <c r="D650" s="23"/>
      <c r="O650" s="98"/>
      <c r="U650" s="34"/>
      <c r="V650" s="34"/>
    </row>
    <row r="651" spans="4:22" s="2" customFormat="1" ht="27" customHeight="1" x14ac:dyDescent="0.3">
      <c r="D651" s="23"/>
      <c r="O651" s="98"/>
      <c r="U651" s="34"/>
      <c r="V651" s="34"/>
    </row>
    <row r="652" spans="4:22" s="2" customFormat="1" ht="27" customHeight="1" x14ac:dyDescent="0.3">
      <c r="D652" s="23"/>
      <c r="O652" s="98"/>
      <c r="U652" s="34"/>
      <c r="V652" s="34"/>
    </row>
    <row r="653" spans="4:22" s="2" customFormat="1" ht="27" customHeight="1" x14ac:dyDescent="0.3">
      <c r="D653" s="23"/>
      <c r="O653" s="98"/>
      <c r="U653" s="34"/>
      <c r="V653" s="34"/>
    </row>
    <row r="654" spans="4:22" s="2" customFormat="1" ht="27" customHeight="1" x14ac:dyDescent="0.3">
      <c r="D654" s="23"/>
      <c r="O654" s="98"/>
      <c r="U654" s="34"/>
      <c r="V654" s="34"/>
    </row>
    <row r="655" spans="4:22" s="2" customFormat="1" ht="27" customHeight="1" x14ac:dyDescent="0.3">
      <c r="D655" s="23"/>
      <c r="O655" s="98"/>
      <c r="U655" s="34"/>
      <c r="V655" s="34"/>
    </row>
    <row r="656" spans="4:22" s="2" customFormat="1" ht="27" customHeight="1" x14ac:dyDescent="0.3">
      <c r="D656" s="23"/>
      <c r="O656" s="98"/>
      <c r="U656" s="34"/>
      <c r="V656" s="34"/>
    </row>
    <row r="657" spans="4:22" s="2" customFormat="1" ht="27" customHeight="1" x14ac:dyDescent="0.3">
      <c r="D657" s="23"/>
      <c r="O657" s="98"/>
      <c r="U657" s="34"/>
      <c r="V657" s="34"/>
    </row>
    <row r="658" spans="4:22" s="2" customFormat="1" ht="27" customHeight="1" x14ac:dyDescent="0.3">
      <c r="D658" s="23"/>
      <c r="O658" s="98"/>
      <c r="U658" s="34"/>
      <c r="V658" s="34"/>
    </row>
    <row r="659" spans="4:22" s="2" customFormat="1" ht="27" customHeight="1" x14ac:dyDescent="0.3">
      <c r="D659" s="23"/>
      <c r="O659" s="98"/>
      <c r="U659" s="34"/>
      <c r="V659" s="34"/>
    </row>
    <row r="660" spans="4:22" s="2" customFormat="1" ht="27" customHeight="1" x14ac:dyDescent="0.3">
      <c r="D660" s="23"/>
      <c r="O660" s="98"/>
      <c r="U660" s="34"/>
      <c r="V660" s="34"/>
    </row>
    <row r="661" spans="4:22" s="2" customFormat="1" ht="27" customHeight="1" x14ac:dyDescent="0.3">
      <c r="D661" s="23"/>
      <c r="O661" s="98"/>
      <c r="U661" s="34"/>
      <c r="V661" s="34"/>
    </row>
    <row r="662" spans="4:22" s="2" customFormat="1" ht="27" customHeight="1" x14ac:dyDescent="0.3">
      <c r="D662" s="23"/>
      <c r="O662" s="98"/>
      <c r="U662" s="34"/>
      <c r="V662" s="34"/>
    </row>
    <row r="663" spans="4:22" s="2" customFormat="1" ht="27" customHeight="1" x14ac:dyDescent="0.3">
      <c r="D663" s="23"/>
      <c r="O663" s="98"/>
      <c r="U663" s="34"/>
      <c r="V663" s="34"/>
    </row>
    <row r="664" spans="4:22" s="2" customFormat="1" ht="27" customHeight="1" x14ac:dyDescent="0.3">
      <c r="D664" s="23"/>
      <c r="O664" s="98"/>
      <c r="U664" s="34"/>
      <c r="V664" s="34"/>
    </row>
    <row r="665" spans="4:22" s="2" customFormat="1" ht="27" customHeight="1" x14ac:dyDescent="0.3">
      <c r="D665" s="23"/>
      <c r="O665" s="98"/>
      <c r="U665" s="34"/>
      <c r="V665" s="34"/>
    </row>
    <row r="666" spans="4:22" s="2" customFormat="1" ht="27" customHeight="1" x14ac:dyDescent="0.3">
      <c r="D666" s="23"/>
      <c r="O666" s="98"/>
      <c r="U666" s="34"/>
      <c r="V666" s="34"/>
    </row>
    <row r="667" spans="4:22" s="2" customFormat="1" ht="27" customHeight="1" x14ac:dyDescent="0.3">
      <c r="D667" s="23"/>
      <c r="O667" s="98"/>
      <c r="U667" s="34"/>
      <c r="V667" s="34"/>
    </row>
    <row r="668" spans="4:22" s="2" customFormat="1" ht="27" customHeight="1" x14ac:dyDescent="0.3">
      <c r="D668" s="23"/>
      <c r="O668" s="98"/>
      <c r="U668" s="34"/>
      <c r="V668" s="34"/>
    </row>
    <row r="669" spans="4:22" s="2" customFormat="1" ht="27" customHeight="1" x14ac:dyDescent="0.3">
      <c r="D669" s="23"/>
      <c r="O669" s="98"/>
      <c r="U669" s="34"/>
      <c r="V669" s="34"/>
    </row>
    <row r="670" spans="4:22" s="2" customFormat="1" ht="27" customHeight="1" x14ac:dyDescent="0.3">
      <c r="D670" s="23"/>
      <c r="O670" s="98"/>
      <c r="U670" s="34"/>
      <c r="V670" s="34"/>
    </row>
    <row r="671" spans="4:22" s="2" customFormat="1" ht="27" customHeight="1" x14ac:dyDescent="0.3">
      <c r="D671" s="23"/>
      <c r="O671" s="98"/>
      <c r="U671" s="34"/>
      <c r="V671" s="34"/>
    </row>
    <row r="672" spans="4:22" s="2" customFormat="1" ht="27" customHeight="1" x14ac:dyDescent="0.3">
      <c r="D672" s="23"/>
      <c r="O672" s="98"/>
      <c r="U672" s="34"/>
      <c r="V672" s="34"/>
    </row>
    <row r="673" spans="4:22" s="2" customFormat="1" ht="27" customHeight="1" x14ac:dyDescent="0.3">
      <c r="D673" s="23"/>
      <c r="O673" s="98"/>
      <c r="U673" s="34"/>
      <c r="V673" s="34"/>
    </row>
    <row r="674" spans="4:22" s="2" customFormat="1" ht="27" customHeight="1" x14ac:dyDescent="0.3">
      <c r="D674" s="23"/>
      <c r="O674" s="98"/>
      <c r="U674" s="34"/>
      <c r="V674" s="34"/>
    </row>
    <row r="675" spans="4:22" s="2" customFormat="1" ht="27" customHeight="1" x14ac:dyDescent="0.3">
      <c r="D675" s="23"/>
      <c r="O675" s="98"/>
      <c r="U675" s="34"/>
      <c r="V675" s="34"/>
    </row>
    <row r="676" spans="4:22" s="2" customFormat="1" ht="27" customHeight="1" x14ac:dyDescent="0.3">
      <c r="D676" s="23"/>
      <c r="O676" s="98"/>
      <c r="U676" s="34"/>
      <c r="V676" s="34"/>
    </row>
    <row r="677" spans="4:22" s="2" customFormat="1" ht="27" customHeight="1" x14ac:dyDescent="0.3">
      <c r="D677" s="23"/>
      <c r="O677" s="98"/>
      <c r="U677" s="34"/>
      <c r="V677" s="34"/>
    </row>
    <row r="678" spans="4:22" s="2" customFormat="1" ht="27" customHeight="1" x14ac:dyDescent="0.3">
      <c r="D678" s="23"/>
      <c r="O678" s="98"/>
      <c r="U678" s="34"/>
      <c r="V678" s="34"/>
    </row>
    <row r="679" spans="4:22" s="2" customFormat="1" ht="27" customHeight="1" x14ac:dyDescent="0.3">
      <c r="D679" s="23"/>
      <c r="O679" s="98"/>
      <c r="U679" s="34"/>
      <c r="V679" s="34"/>
    </row>
    <row r="680" spans="4:22" s="2" customFormat="1" ht="27" customHeight="1" x14ac:dyDescent="0.3">
      <c r="D680" s="23"/>
      <c r="O680" s="98"/>
      <c r="U680" s="34"/>
      <c r="V680" s="34"/>
    </row>
    <row r="681" spans="4:22" s="2" customFormat="1" ht="27" customHeight="1" x14ac:dyDescent="0.3">
      <c r="D681" s="23"/>
      <c r="O681" s="98"/>
      <c r="U681" s="34"/>
      <c r="V681" s="34"/>
    </row>
    <row r="682" spans="4:22" s="2" customFormat="1" ht="27" customHeight="1" x14ac:dyDescent="0.3">
      <c r="D682" s="23"/>
      <c r="O682" s="98"/>
      <c r="U682" s="34"/>
      <c r="V682" s="34"/>
    </row>
    <row r="683" spans="4:22" s="2" customFormat="1" ht="27" customHeight="1" x14ac:dyDescent="0.3">
      <c r="D683" s="23"/>
      <c r="O683" s="98"/>
      <c r="U683" s="34"/>
      <c r="V683" s="34"/>
    </row>
    <row r="684" spans="4:22" s="2" customFormat="1" ht="27" customHeight="1" x14ac:dyDescent="0.3">
      <c r="D684" s="23"/>
      <c r="O684" s="98"/>
      <c r="U684" s="34"/>
      <c r="V684" s="34"/>
    </row>
    <row r="685" spans="4:22" s="2" customFormat="1" ht="27" customHeight="1" x14ac:dyDescent="0.3">
      <c r="D685" s="23"/>
      <c r="O685" s="98"/>
      <c r="U685" s="34"/>
      <c r="V685" s="34"/>
    </row>
    <row r="686" spans="4:22" s="2" customFormat="1" ht="27" customHeight="1" x14ac:dyDescent="0.3">
      <c r="D686" s="23"/>
      <c r="O686" s="98"/>
      <c r="U686" s="34"/>
      <c r="V686" s="34"/>
    </row>
    <row r="687" spans="4:22" s="2" customFormat="1" ht="27" customHeight="1" x14ac:dyDescent="0.3">
      <c r="D687" s="23"/>
      <c r="O687" s="98"/>
      <c r="U687" s="34"/>
      <c r="V687" s="34"/>
    </row>
    <row r="688" spans="4:22" s="2" customFormat="1" ht="27" customHeight="1" x14ac:dyDescent="0.3">
      <c r="D688" s="23"/>
      <c r="O688" s="98"/>
      <c r="U688" s="34"/>
      <c r="V688" s="34"/>
    </row>
    <row r="689" spans="4:22" s="2" customFormat="1" ht="27" customHeight="1" x14ac:dyDescent="0.3">
      <c r="D689" s="23"/>
      <c r="O689" s="98"/>
      <c r="U689" s="34"/>
      <c r="V689" s="34"/>
    </row>
    <row r="690" spans="4:22" s="2" customFormat="1" ht="27" customHeight="1" x14ac:dyDescent="0.3">
      <c r="D690" s="23"/>
      <c r="O690" s="98"/>
      <c r="U690" s="34"/>
      <c r="V690" s="34"/>
    </row>
    <row r="691" spans="4:22" s="2" customFormat="1" ht="27" customHeight="1" x14ac:dyDescent="0.3">
      <c r="D691" s="23"/>
      <c r="O691" s="98"/>
      <c r="U691" s="34"/>
      <c r="V691" s="34"/>
    </row>
    <row r="692" spans="4:22" s="2" customFormat="1" ht="27" customHeight="1" x14ac:dyDescent="0.3">
      <c r="D692" s="23"/>
      <c r="O692" s="98"/>
      <c r="U692" s="34"/>
      <c r="V692" s="34"/>
    </row>
    <row r="693" spans="4:22" s="2" customFormat="1" ht="27" customHeight="1" x14ac:dyDescent="0.3">
      <c r="D693" s="23"/>
      <c r="O693" s="98"/>
      <c r="U693" s="34"/>
      <c r="V693" s="34"/>
    </row>
    <row r="694" spans="4:22" s="2" customFormat="1" ht="27" customHeight="1" x14ac:dyDescent="0.3">
      <c r="D694" s="23"/>
      <c r="O694" s="98"/>
      <c r="U694" s="34"/>
      <c r="V694" s="34"/>
    </row>
    <row r="695" spans="4:22" s="2" customFormat="1" ht="27" customHeight="1" x14ac:dyDescent="0.3">
      <c r="D695" s="23"/>
      <c r="O695" s="98"/>
      <c r="U695" s="34"/>
      <c r="V695" s="34"/>
    </row>
    <row r="696" spans="4:22" s="2" customFormat="1" ht="27" customHeight="1" x14ac:dyDescent="0.3">
      <c r="D696" s="23"/>
      <c r="O696" s="98"/>
      <c r="U696" s="34"/>
      <c r="V696" s="34"/>
    </row>
    <row r="697" spans="4:22" s="2" customFormat="1" ht="27" customHeight="1" x14ac:dyDescent="0.3">
      <c r="D697" s="23"/>
      <c r="O697" s="98"/>
      <c r="U697" s="34"/>
      <c r="V697" s="34"/>
    </row>
    <row r="698" spans="4:22" s="2" customFormat="1" ht="27" customHeight="1" x14ac:dyDescent="0.3">
      <c r="D698" s="23"/>
      <c r="O698" s="98"/>
      <c r="U698" s="34"/>
      <c r="V698" s="34"/>
    </row>
    <row r="699" spans="4:22" s="2" customFormat="1" ht="27" customHeight="1" x14ac:dyDescent="0.3">
      <c r="D699" s="23"/>
      <c r="O699" s="98"/>
      <c r="U699" s="34"/>
      <c r="V699" s="34"/>
    </row>
    <row r="700" spans="4:22" s="2" customFormat="1" ht="27" customHeight="1" x14ac:dyDescent="0.3">
      <c r="D700" s="23"/>
      <c r="O700" s="98"/>
      <c r="U700" s="34"/>
      <c r="V700" s="34"/>
    </row>
    <row r="701" spans="4:22" s="2" customFormat="1" ht="27" customHeight="1" x14ac:dyDescent="0.3">
      <c r="D701" s="23"/>
      <c r="O701" s="98"/>
      <c r="U701" s="34"/>
      <c r="V701" s="34"/>
    </row>
    <row r="702" spans="4:22" s="2" customFormat="1" ht="27" customHeight="1" x14ac:dyDescent="0.3">
      <c r="D702" s="23"/>
      <c r="O702" s="98"/>
      <c r="U702" s="34"/>
      <c r="V702" s="34"/>
    </row>
    <row r="703" spans="4:22" s="2" customFormat="1" ht="27" customHeight="1" x14ac:dyDescent="0.3">
      <c r="D703" s="23"/>
      <c r="O703" s="98"/>
      <c r="U703" s="34"/>
      <c r="V703" s="34"/>
    </row>
    <row r="704" spans="4:22" s="2" customFormat="1" ht="27" customHeight="1" x14ac:dyDescent="0.3">
      <c r="D704" s="23"/>
      <c r="O704" s="98"/>
      <c r="U704" s="34"/>
      <c r="V704" s="34"/>
    </row>
    <row r="705" spans="4:22" s="2" customFormat="1" ht="27" customHeight="1" x14ac:dyDescent="0.3">
      <c r="D705" s="23"/>
      <c r="O705" s="98"/>
      <c r="U705" s="34"/>
      <c r="V705" s="34"/>
    </row>
    <row r="706" spans="4:22" s="2" customFormat="1" ht="27" customHeight="1" x14ac:dyDescent="0.3">
      <c r="D706" s="23"/>
      <c r="O706" s="98"/>
      <c r="U706" s="34"/>
      <c r="V706" s="34"/>
    </row>
    <row r="707" spans="4:22" s="2" customFormat="1" ht="27" customHeight="1" x14ac:dyDescent="0.3">
      <c r="D707" s="23"/>
      <c r="O707" s="98"/>
      <c r="U707" s="34"/>
      <c r="V707" s="34"/>
    </row>
    <row r="708" spans="4:22" s="2" customFormat="1" ht="27" customHeight="1" x14ac:dyDescent="0.3">
      <c r="D708" s="23"/>
      <c r="O708" s="98"/>
      <c r="U708" s="34"/>
      <c r="V708" s="34"/>
    </row>
    <row r="709" spans="4:22" s="2" customFormat="1" ht="27" customHeight="1" x14ac:dyDescent="0.3">
      <c r="D709" s="23"/>
      <c r="O709" s="98"/>
      <c r="U709" s="34"/>
      <c r="V709" s="34"/>
    </row>
    <row r="710" spans="4:22" s="2" customFormat="1" ht="27" customHeight="1" x14ac:dyDescent="0.3">
      <c r="D710" s="23"/>
      <c r="O710" s="98"/>
      <c r="U710" s="34"/>
      <c r="V710" s="34"/>
    </row>
    <row r="711" spans="4:22" s="2" customFormat="1" ht="27" customHeight="1" x14ac:dyDescent="0.3">
      <c r="D711" s="23"/>
      <c r="O711" s="98"/>
      <c r="U711" s="34"/>
      <c r="V711" s="34"/>
    </row>
    <row r="712" spans="4:22" s="2" customFormat="1" ht="27" customHeight="1" x14ac:dyDescent="0.3">
      <c r="D712" s="23"/>
      <c r="O712" s="98"/>
      <c r="U712" s="34"/>
      <c r="V712" s="34"/>
    </row>
    <row r="713" spans="4:22" s="2" customFormat="1" ht="27" customHeight="1" x14ac:dyDescent="0.3">
      <c r="D713" s="23"/>
      <c r="O713" s="98"/>
      <c r="U713" s="34"/>
      <c r="V713" s="34"/>
    </row>
    <row r="714" spans="4:22" s="2" customFormat="1" ht="27" customHeight="1" x14ac:dyDescent="0.3">
      <c r="D714" s="23"/>
      <c r="O714" s="98"/>
      <c r="U714" s="34"/>
      <c r="V714" s="34"/>
    </row>
    <row r="715" spans="4:22" s="2" customFormat="1" ht="27" customHeight="1" x14ac:dyDescent="0.3">
      <c r="D715" s="23"/>
      <c r="O715" s="98"/>
      <c r="U715" s="34"/>
      <c r="V715" s="34"/>
    </row>
    <row r="716" spans="4:22" s="2" customFormat="1" ht="27" customHeight="1" x14ac:dyDescent="0.3">
      <c r="D716" s="23"/>
      <c r="O716" s="98"/>
      <c r="U716" s="34"/>
      <c r="V716" s="34"/>
    </row>
    <row r="717" spans="4:22" s="2" customFormat="1" ht="27" customHeight="1" x14ac:dyDescent="0.3">
      <c r="D717" s="23"/>
      <c r="O717" s="98"/>
      <c r="U717" s="34"/>
      <c r="V717" s="34"/>
    </row>
    <row r="718" spans="4:22" s="2" customFormat="1" ht="27" customHeight="1" x14ac:dyDescent="0.3">
      <c r="D718" s="23"/>
      <c r="O718" s="98"/>
      <c r="U718" s="34"/>
      <c r="V718" s="34"/>
    </row>
    <row r="719" spans="4:22" s="2" customFormat="1" ht="27" customHeight="1" x14ac:dyDescent="0.3">
      <c r="D719" s="23"/>
      <c r="O719" s="98"/>
      <c r="U719" s="34"/>
      <c r="V719" s="34"/>
    </row>
    <row r="720" spans="4:22" s="2" customFormat="1" ht="27" customHeight="1" x14ac:dyDescent="0.3">
      <c r="D720" s="23"/>
      <c r="O720" s="98"/>
      <c r="U720" s="34"/>
      <c r="V720" s="34"/>
    </row>
    <row r="721" spans="4:22" s="2" customFormat="1" ht="27" customHeight="1" x14ac:dyDescent="0.3">
      <c r="D721" s="23"/>
      <c r="O721" s="98"/>
      <c r="U721" s="34"/>
      <c r="V721" s="34"/>
    </row>
    <row r="722" spans="4:22" s="2" customFormat="1" ht="27" customHeight="1" x14ac:dyDescent="0.3">
      <c r="D722" s="23"/>
      <c r="O722" s="98"/>
      <c r="U722" s="34"/>
      <c r="V722" s="34"/>
    </row>
    <row r="723" spans="4:22" s="2" customFormat="1" ht="27" customHeight="1" x14ac:dyDescent="0.3">
      <c r="D723" s="23"/>
      <c r="O723" s="98"/>
      <c r="U723" s="34"/>
      <c r="V723" s="34"/>
    </row>
    <row r="724" spans="4:22" s="2" customFormat="1" ht="27" customHeight="1" x14ac:dyDescent="0.3">
      <c r="D724" s="23"/>
      <c r="O724" s="98"/>
      <c r="U724" s="34"/>
      <c r="V724" s="34"/>
    </row>
    <row r="725" spans="4:22" s="2" customFormat="1" ht="27" customHeight="1" x14ac:dyDescent="0.3">
      <c r="D725" s="23"/>
      <c r="O725" s="98"/>
      <c r="U725" s="34"/>
      <c r="V725" s="34"/>
    </row>
    <row r="726" spans="4:22" s="2" customFormat="1" ht="27" customHeight="1" x14ac:dyDescent="0.3">
      <c r="D726" s="23"/>
      <c r="O726" s="98"/>
      <c r="U726" s="34"/>
      <c r="V726" s="34"/>
    </row>
    <row r="727" spans="4:22" s="2" customFormat="1" ht="27" customHeight="1" x14ac:dyDescent="0.3">
      <c r="D727" s="23"/>
      <c r="O727" s="98"/>
      <c r="U727" s="34"/>
      <c r="V727" s="34"/>
    </row>
    <row r="728" spans="4:22" s="2" customFormat="1" ht="27" customHeight="1" x14ac:dyDescent="0.3">
      <c r="D728" s="23"/>
      <c r="O728" s="98"/>
      <c r="U728" s="34"/>
      <c r="V728" s="34"/>
    </row>
    <row r="729" spans="4:22" s="2" customFormat="1" ht="27" customHeight="1" x14ac:dyDescent="0.3">
      <c r="D729" s="23"/>
      <c r="O729" s="98"/>
      <c r="U729" s="34"/>
      <c r="V729" s="34"/>
    </row>
    <row r="730" spans="4:22" s="2" customFormat="1" ht="27" customHeight="1" x14ac:dyDescent="0.3">
      <c r="D730" s="23"/>
      <c r="O730" s="98"/>
      <c r="U730" s="34"/>
      <c r="V730" s="34"/>
    </row>
    <row r="731" spans="4:22" s="2" customFormat="1" ht="27" customHeight="1" x14ac:dyDescent="0.3">
      <c r="D731" s="23"/>
      <c r="O731" s="98"/>
      <c r="U731" s="34"/>
      <c r="V731" s="34"/>
    </row>
    <row r="732" spans="4:22" s="2" customFormat="1" ht="27" customHeight="1" x14ac:dyDescent="0.3">
      <c r="D732" s="23"/>
      <c r="O732" s="98"/>
      <c r="U732" s="34"/>
      <c r="V732" s="34"/>
    </row>
    <row r="733" spans="4:22" s="2" customFormat="1" ht="27" customHeight="1" x14ac:dyDescent="0.3">
      <c r="D733" s="23"/>
      <c r="O733" s="98"/>
      <c r="U733" s="34"/>
      <c r="V733" s="34"/>
    </row>
    <row r="734" spans="4:22" s="2" customFormat="1" ht="27" customHeight="1" x14ac:dyDescent="0.3">
      <c r="D734" s="23"/>
      <c r="O734" s="98"/>
      <c r="U734" s="34"/>
      <c r="V734" s="34"/>
    </row>
    <row r="735" spans="4:22" s="2" customFormat="1" ht="27" customHeight="1" x14ac:dyDescent="0.3">
      <c r="D735" s="23"/>
      <c r="O735" s="98"/>
      <c r="U735" s="34"/>
      <c r="V735" s="34"/>
    </row>
    <row r="736" spans="4:22" s="2" customFormat="1" ht="27" customHeight="1" x14ac:dyDescent="0.3">
      <c r="D736" s="23"/>
      <c r="O736" s="98"/>
      <c r="U736" s="34"/>
      <c r="V736" s="34"/>
    </row>
    <row r="737" spans="4:22" s="2" customFormat="1" ht="27" customHeight="1" x14ac:dyDescent="0.3">
      <c r="D737" s="23"/>
      <c r="O737" s="98"/>
      <c r="U737" s="34"/>
      <c r="V737" s="34"/>
    </row>
    <row r="738" spans="4:22" s="2" customFormat="1" ht="27" customHeight="1" x14ac:dyDescent="0.3">
      <c r="D738" s="23"/>
      <c r="O738" s="98"/>
      <c r="U738" s="34"/>
      <c r="V738" s="34"/>
    </row>
    <row r="739" spans="4:22" s="2" customFormat="1" ht="27" customHeight="1" x14ac:dyDescent="0.3">
      <c r="D739" s="23"/>
      <c r="O739" s="98"/>
      <c r="U739" s="34"/>
      <c r="V739" s="34"/>
    </row>
    <row r="740" spans="4:22" s="2" customFormat="1" ht="27" customHeight="1" x14ac:dyDescent="0.3">
      <c r="D740" s="23"/>
      <c r="O740" s="98"/>
      <c r="U740" s="34"/>
      <c r="V740" s="34"/>
    </row>
    <row r="741" spans="4:22" s="2" customFormat="1" ht="27" customHeight="1" x14ac:dyDescent="0.3">
      <c r="D741" s="23"/>
      <c r="O741" s="98"/>
      <c r="U741" s="34"/>
      <c r="V741" s="34"/>
    </row>
    <row r="742" spans="4:22" s="2" customFormat="1" ht="27" customHeight="1" x14ac:dyDescent="0.3">
      <c r="D742" s="23"/>
      <c r="O742" s="98"/>
      <c r="U742" s="34"/>
      <c r="V742" s="34"/>
    </row>
    <row r="743" spans="4:22" s="2" customFormat="1" ht="27" customHeight="1" x14ac:dyDescent="0.3">
      <c r="D743" s="23"/>
      <c r="O743" s="98"/>
      <c r="U743" s="34"/>
      <c r="V743" s="34"/>
    </row>
    <row r="744" spans="4:22" s="2" customFormat="1" ht="27" customHeight="1" x14ac:dyDescent="0.3">
      <c r="D744" s="23"/>
      <c r="O744" s="98"/>
      <c r="U744" s="34"/>
      <c r="V744" s="34"/>
    </row>
    <row r="745" spans="4:22" s="2" customFormat="1" ht="27" customHeight="1" x14ac:dyDescent="0.3">
      <c r="D745" s="23"/>
      <c r="O745" s="98"/>
      <c r="U745" s="34"/>
      <c r="V745" s="34"/>
    </row>
    <row r="746" spans="4:22" s="2" customFormat="1" ht="27" customHeight="1" x14ac:dyDescent="0.3">
      <c r="D746" s="23"/>
      <c r="O746" s="98"/>
      <c r="U746" s="34"/>
      <c r="V746" s="34"/>
    </row>
    <row r="747" spans="4:22" s="2" customFormat="1" ht="27" customHeight="1" x14ac:dyDescent="0.3">
      <c r="D747" s="23"/>
      <c r="O747" s="98"/>
      <c r="U747" s="34"/>
      <c r="V747" s="34"/>
    </row>
    <row r="748" spans="4:22" s="2" customFormat="1" ht="27" customHeight="1" x14ac:dyDescent="0.3">
      <c r="D748" s="23"/>
      <c r="O748" s="98"/>
      <c r="U748" s="34"/>
      <c r="V748" s="34"/>
    </row>
    <row r="749" spans="4:22" s="2" customFormat="1" ht="27" customHeight="1" x14ac:dyDescent="0.3">
      <c r="D749" s="23"/>
      <c r="O749" s="98"/>
      <c r="U749" s="34"/>
      <c r="V749" s="34"/>
    </row>
    <row r="750" spans="4:22" s="2" customFormat="1" ht="27" customHeight="1" x14ac:dyDescent="0.3">
      <c r="D750" s="23"/>
      <c r="O750" s="98"/>
      <c r="U750" s="34"/>
      <c r="V750" s="34"/>
    </row>
    <row r="751" spans="4:22" s="2" customFormat="1" ht="27" customHeight="1" x14ac:dyDescent="0.3">
      <c r="D751" s="23"/>
      <c r="O751" s="98"/>
      <c r="U751" s="34"/>
      <c r="V751" s="34"/>
    </row>
    <row r="752" spans="4:22" s="2" customFormat="1" ht="27" customHeight="1" x14ac:dyDescent="0.3">
      <c r="D752" s="23"/>
      <c r="O752" s="98"/>
      <c r="U752" s="34"/>
      <c r="V752" s="34"/>
    </row>
    <row r="753" spans="4:22" s="2" customFormat="1" ht="27" customHeight="1" x14ac:dyDescent="0.3">
      <c r="D753" s="23"/>
      <c r="O753" s="98"/>
      <c r="U753" s="34"/>
      <c r="V753" s="34"/>
    </row>
    <row r="754" spans="4:22" s="2" customFormat="1" ht="27" customHeight="1" x14ac:dyDescent="0.3">
      <c r="D754" s="23"/>
      <c r="O754" s="98"/>
      <c r="U754" s="34"/>
      <c r="V754" s="34"/>
    </row>
    <row r="755" spans="4:22" s="2" customFormat="1" ht="27" customHeight="1" x14ac:dyDescent="0.3">
      <c r="D755" s="23"/>
      <c r="O755" s="98"/>
      <c r="U755" s="34"/>
      <c r="V755" s="34"/>
    </row>
    <row r="756" spans="4:22" s="2" customFormat="1" ht="27" customHeight="1" x14ac:dyDescent="0.3">
      <c r="D756" s="23"/>
      <c r="O756" s="98"/>
      <c r="U756" s="34"/>
      <c r="V756" s="34"/>
    </row>
    <row r="757" spans="4:22" s="2" customFormat="1" ht="27" customHeight="1" x14ac:dyDescent="0.3">
      <c r="D757" s="23"/>
      <c r="O757" s="98"/>
      <c r="U757" s="34"/>
      <c r="V757" s="34"/>
    </row>
    <row r="758" spans="4:22" s="2" customFormat="1" ht="27" customHeight="1" x14ac:dyDescent="0.3">
      <c r="D758" s="23"/>
      <c r="O758" s="98"/>
      <c r="U758" s="34"/>
      <c r="V758" s="34"/>
    </row>
    <row r="759" spans="4:22" s="2" customFormat="1" ht="27" customHeight="1" x14ac:dyDescent="0.3">
      <c r="D759" s="23"/>
      <c r="O759" s="98"/>
      <c r="U759" s="34"/>
      <c r="V759" s="34"/>
    </row>
    <row r="760" spans="4:22" s="2" customFormat="1" ht="27" customHeight="1" x14ac:dyDescent="0.3">
      <c r="D760" s="23"/>
      <c r="O760" s="98"/>
      <c r="U760" s="34"/>
      <c r="V760" s="34"/>
    </row>
    <row r="761" spans="4:22" s="2" customFormat="1" ht="27" customHeight="1" x14ac:dyDescent="0.3">
      <c r="D761" s="23"/>
      <c r="O761" s="98"/>
      <c r="U761" s="34"/>
      <c r="V761" s="34"/>
    </row>
    <row r="762" spans="4:22" s="2" customFormat="1" ht="27" customHeight="1" x14ac:dyDescent="0.3">
      <c r="D762" s="23"/>
      <c r="O762" s="98"/>
      <c r="U762" s="34"/>
      <c r="V762" s="34"/>
    </row>
    <row r="763" spans="4:22" s="2" customFormat="1" ht="27" customHeight="1" x14ac:dyDescent="0.3">
      <c r="D763" s="23"/>
      <c r="O763" s="98"/>
      <c r="U763" s="34"/>
      <c r="V763" s="34"/>
    </row>
    <row r="764" spans="4:22" s="2" customFormat="1" ht="27" customHeight="1" x14ac:dyDescent="0.3">
      <c r="D764" s="23"/>
      <c r="O764" s="98"/>
      <c r="U764" s="34"/>
      <c r="V764" s="34"/>
    </row>
    <row r="765" spans="4:22" s="2" customFormat="1" ht="27" customHeight="1" x14ac:dyDescent="0.3">
      <c r="D765" s="23"/>
      <c r="O765" s="98"/>
      <c r="U765" s="34"/>
      <c r="V765" s="34"/>
    </row>
    <row r="766" spans="4:22" s="2" customFormat="1" ht="27" customHeight="1" x14ac:dyDescent="0.3">
      <c r="D766" s="23"/>
      <c r="O766" s="98"/>
      <c r="U766" s="34"/>
      <c r="V766" s="34"/>
    </row>
    <row r="767" spans="4:22" s="2" customFormat="1" ht="27" customHeight="1" x14ac:dyDescent="0.3">
      <c r="D767" s="23"/>
      <c r="O767" s="98"/>
      <c r="U767" s="34"/>
      <c r="V767" s="34"/>
    </row>
    <row r="768" spans="4:22" s="2" customFormat="1" ht="27" customHeight="1" x14ac:dyDescent="0.3">
      <c r="D768" s="23"/>
      <c r="O768" s="98"/>
      <c r="U768" s="34"/>
      <c r="V768" s="34"/>
    </row>
    <row r="769" spans="4:22" s="2" customFormat="1" ht="27" customHeight="1" x14ac:dyDescent="0.3">
      <c r="D769" s="23"/>
      <c r="O769" s="98"/>
      <c r="U769" s="34"/>
      <c r="V769" s="34"/>
    </row>
    <row r="770" spans="4:22" s="2" customFormat="1" ht="27" customHeight="1" x14ac:dyDescent="0.3">
      <c r="D770" s="23"/>
      <c r="O770" s="98"/>
      <c r="U770" s="34"/>
      <c r="V770" s="34"/>
    </row>
    <row r="771" spans="4:22" s="2" customFormat="1" ht="27" customHeight="1" x14ac:dyDescent="0.3">
      <c r="D771" s="23"/>
      <c r="O771" s="98"/>
      <c r="U771" s="34"/>
      <c r="V771" s="34"/>
    </row>
    <row r="772" spans="4:22" s="2" customFormat="1" ht="27" customHeight="1" x14ac:dyDescent="0.3">
      <c r="D772" s="23"/>
      <c r="O772" s="98"/>
      <c r="U772" s="34"/>
      <c r="V772" s="34"/>
    </row>
    <row r="773" spans="4:22" s="2" customFormat="1" ht="27" customHeight="1" x14ac:dyDescent="0.3">
      <c r="D773" s="23"/>
      <c r="O773" s="98"/>
      <c r="U773" s="34"/>
      <c r="V773" s="34"/>
    </row>
    <row r="774" spans="4:22" s="2" customFormat="1" ht="27" customHeight="1" x14ac:dyDescent="0.3">
      <c r="D774" s="23"/>
      <c r="O774" s="98"/>
      <c r="U774" s="34"/>
      <c r="V774" s="34"/>
    </row>
    <row r="775" spans="4:22" s="2" customFormat="1" ht="27" customHeight="1" x14ac:dyDescent="0.3">
      <c r="D775" s="23"/>
      <c r="O775" s="98"/>
      <c r="U775" s="34"/>
      <c r="V775" s="34"/>
    </row>
    <row r="776" spans="4:22" s="2" customFormat="1" ht="27" customHeight="1" x14ac:dyDescent="0.3">
      <c r="D776" s="23"/>
      <c r="O776" s="98"/>
      <c r="U776" s="34"/>
      <c r="V776" s="34"/>
    </row>
    <row r="777" spans="4:22" s="2" customFormat="1" ht="27" customHeight="1" x14ac:dyDescent="0.3">
      <c r="D777" s="23"/>
      <c r="O777" s="98"/>
      <c r="U777" s="34"/>
      <c r="V777" s="34"/>
    </row>
    <row r="778" spans="4:22" s="2" customFormat="1" ht="27" customHeight="1" x14ac:dyDescent="0.3">
      <c r="D778" s="23"/>
      <c r="O778" s="98"/>
      <c r="U778" s="34"/>
      <c r="V778" s="34"/>
    </row>
    <row r="779" spans="4:22" s="2" customFormat="1" ht="27" customHeight="1" x14ac:dyDescent="0.3">
      <c r="D779" s="23"/>
      <c r="O779" s="98"/>
      <c r="U779" s="34"/>
      <c r="V779" s="34"/>
    </row>
    <row r="780" spans="4:22" s="2" customFormat="1" ht="27" customHeight="1" x14ac:dyDescent="0.3">
      <c r="D780" s="23"/>
      <c r="O780" s="98"/>
      <c r="U780" s="34"/>
      <c r="V780" s="34"/>
    </row>
    <row r="781" spans="4:22" s="2" customFormat="1" ht="27" customHeight="1" x14ac:dyDescent="0.3">
      <c r="D781" s="23"/>
      <c r="O781" s="98"/>
      <c r="U781" s="34"/>
      <c r="V781" s="34"/>
    </row>
    <row r="782" spans="4:22" s="2" customFormat="1" ht="27" customHeight="1" x14ac:dyDescent="0.3">
      <c r="D782" s="23"/>
      <c r="O782" s="98"/>
      <c r="U782" s="34"/>
      <c r="V782" s="34"/>
    </row>
    <row r="783" spans="4:22" s="2" customFormat="1" ht="27" customHeight="1" x14ac:dyDescent="0.3">
      <c r="D783" s="23"/>
      <c r="O783" s="98"/>
      <c r="U783" s="34"/>
      <c r="V783" s="34"/>
    </row>
    <row r="784" spans="4:22" s="2" customFormat="1" ht="27" customHeight="1" x14ac:dyDescent="0.3">
      <c r="D784" s="23"/>
      <c r="O784" s="98"/>
      <c r="U784" s="34"/>
      <c r="V784" s="34"/>
    </row>
    <row r="785" spans="4:22" s="2" customFormat="1" ht="27" customHeight="1" x14ac:dyDescent="0.3">
      <c r="D785" s="23"/>
      <c r="O785" s="98"/>
      <c r="U785" s="34"/>
      <c r="V785" s="34"/>
    </row>
    <row r="786" spans="4:22" s="2" customFormat="1" ht="27" customHeight="1" x14ac:dyDescent="0.3">
      <c r="D786" s="23"/>
      <c r="O786" s="98"/>
      <c r="U786" s="34"/>
      <c r="V786" s="34"/>
    </row>
    <row r="787" spans="4:22" s="2" customFormat="1" ht="27" customHeight="1" x14ac:dyDescent="0.3">
      <c r="D787" s="23"/>
      <c r="O787" s="98"/>
      <c r="U787" s="34"/>
      <c r="V787" s="34"/>
    </row>
    <row r="788" spans="4:22" s="2" customFormat="1" ht="27" customHeight="1" x14ac:dyDescent="0.3">
      <c r="D788" s="23"/>
      <c r="O788" s="98"/>
      <c r="U788" s="34"/>
      <c r="V788" s="34"/>
    </row>
    <row r="789" spans="4:22" s="2" customFormat="1" ht="27" customHeight="1" x14ac:dyDescent="0.3">
      <c r="D789" s="23"/>
      <c r="O789" s="98"/>
      <c r="U789" s="34"/>
      <c r="V789" s="34"/>
    </row>
    <row r="790" spans="4:22" s="2" customFormat="1" ht="27" customHeight="1" x14ac:dyDescent="0.3">
      <c r="D790" s="23"/>
      <c r="O790" s="98"/>
      <c r="U790" s="34"/>
      <c r="V790" s="34"/>
    </row>
    <row r="791" spans="4:22" s="2" customFormat="1" ht="27" customHeight="1" x14ac:dyDescent="0.3">
      <c r="D791" s="23"/>
      <c r="O791" s="98"/>
      <c r="U791" s="34"/>
      <c r="V791" s="34"/>
    </row>
    <row r="792" spans="4:22" s="2" customFormat="1" ht="27" customHeight="1" x14ac:dyDescent="0.3">
      <c r="D792" s="23"/>
      <c r="O792" s="98"/>
      <c r="U792" s="34"/>
      <c r="V792" s="34"/>
    </row>
    <row r="793" spans="4:22" s="2" customFormat="1" ht="27" customHeight="1" x14ac:dyDescent="0.3">
      <c r="D793" s="23"/>
      <c r="O793" s="98"/>
      <c r="U793" s="34"/>
      <c r="V793" s="34"/>
    </row>
    <row r="794" spans="4:22" s="2" customFormat="1" ht="27" customHeight="1" x14ac:dyDescent="0.3">
      <c r="D794" s="23"/>
      <c r="O794" s="98"/>
      <c r="U794" s="34"/>
      <c r="V794" s="34"/>
    </row>
    <row r="795" spans="4:22" s="2" customFormat="1" ht="27" customHeight="1" x14ac:dyDescent="0.3">
      <c r="D795" s="23"/>
      <c r="O795" s="98"/>
      <c r="U795" s="34"/>
      <c r="V795" s="34"/>
    </row>
    <row r="796" spans="4:22" s="2" customFormat="1" ht="27" customHeight="1" x14ac:dyDescent="0.3">
      <c r="D796" s="23"/>
      <c r="O796" s="98"/>
      <c r="U796" s="34"/>
      <c r="V796" s="34"/>
    </row>
    <row r="797" spans="4:22" s="2" customFormat="1" ht="27" customHeight="1" x14ac:dyDescent="0.3">
      <c r="D797" s="23"/>
      <c r="O797" s="98"/>
      <c r="U797" s="34"/>
      <c r="V797" s="34"/>
    </row>
    <row r="798" spans="4:22" s="2" customFormat="1" ht="27" customHeight="1" x14ac:dyDescent="0.3">
      <c r="D798" s="23"/>
      <c r="O798" s="98"/>
      <c r="U798" s="34"/>
      <c r="V798" s="34"/>
    </row>
    <row r="799" spans="4:22" s="2" customFormat="1" ht="27" customHeight="1" x14ac:dyDescent="0.3">
      <c r="D799" s="23"/>
      <c r="O799" s="98"/>
      <c r="U799" s="34"/>
      <c r="V799" s="34"/>
    </row>
    <row r="800" spans="4:22" s="2" customFormat="1" ht="27" customHeight="1" x14ac:dyDescent="0.3">
      <c r="D800" s="23"/>
      <c r="O800" s="98"/>
      <c r="U800" s="34"/>
      <c r="V800" s="34"/>
    </row>
    <row r="801" spans="4:22" s="2" customFormat="1" ht="27" customHeight="1" x14ac:dyDescent="0.3">
      <c r="D801" s="23"/>
      <c r="O801" s="98"/>
      <c r="U801" s="34"/>
      <c r="V801" s="34"/>
    </row>
    <row r="802" spans="4:22" s="2" customFormat="1" ht="27" customHeight="1" x14ac:dyDescent="0.3">
      <c r="D802" s="23"/>
      <c r="O802" s="98"/>
      <c r="U802" s="34"/>
      <c r="V802" s="34"/>
    </row>
    <row r="803" spans="4:22" s="2" customFormat="1" ht="27" customHeight="1" x14ac:dyDescent="0.3">
      <c r="D803" s="23"/>
      <c r="O803" s="98"/>
      <c r="U803" s="34"/>
      <c r="V803" s="34"/>
    </row>
    <row r="804" spans="4:22" s="2" customFormat="1" ht="27" customHeight="1" x14ac:dyDescent="0.3">
      <c r="D804" s="23"/>
      <c r="O804" s="98"/>
      <c r="U804" s="34"/>
      <c r="V804" s="34"/>
    </row>
    <row r="805" spans="4:22" s="2" customFormat="1" ht="27" customHeight="1" x14ac:dyDescent="0.3">
      <c r="D805" s="23"/>
      <c r="O805" s="98"/>
      <c r="U805" s="34"/>
      <c r="V805" s="34"/>
    </row>
    <row r="806" spans="4:22" s="2" customFormat="1" ht="27" customHeight="1" x14ac:dyDescent="0.3">
      <c r="D806" s="23"/>
      <c r="O806" s="98"/>
      <c r="U806" s="34"/>
      <c r="V806" s="34"/>
    </row>
    <row r="807" spans="4:22" s="2" customFormat="1" ht="27" customHeight="1" x14ac:dyDescent="0.3">
      <c r="D807" s="23"/>
      <c r="O807" s="98"/>
      <c r="U807" s="34"/>
      <c r="V807" s="34"/>
    </row>
    <row r="808" spans="4:22" s="2" customFormat="1" ht="27" customHeight="1" x14ac:dyDescent="0.3">
      <c r="D808" s="23"/>
      <c r="O808" s="98"/>
      <c r="U808" s="34"/>
      <c r="V808" s="34"/>
    </row>
    <row r="809" spans="4:22" s="2" customFormat="1" ht="27" customHeight="1" x14ac:dyDescent="0.3">
      <c r="D809" s="23"/>
      <c r="O809" s="98"/>
      <c r="U809" s="34"/>
      <c r="V809" s="34"/>
    </row>
    <row r="810" spans="4:22" s="2" customFormat="1" ht="27" customHeight="1" x14ac:dyDescent="0.3">
      <c r="D810" s="23"/>
      <c r="O810" s="98"/>
      <c r="U810" s="34"/>
      <c r="V810" s="34"/>
    </row>
    <row r="811" spans="4:22" s="2" customFormat="1" ht="27" customHeight="1" x14ac:dyDescent="0.3">
      <c r="D811" s="23"/>
      <c r="O811" s="98"/>
      <c r="U811" s="34"/>
      <c r="V811" s="34"/>
    </row>
    <row r="812" spans="4:22" s="2" customFormat="1" ht="27" customHeight="1" x14ac:dyDescent="0.3">
      <c r="D812" s="23"/>
      <c r="O812" s="98"/>
      <c r="U812" s="34"/>
      <c r="V812" s="34"/>
    </row>
    <row r="813" spans="4:22" s="2" customFormat="1" ht="27" customHeight="1" x14ac:dyDescent="0.3">
      <c r="D813" s="23"/>
      <c r="O813" s="98"/>
      <c r="U813" s="34"/>
      <c r="V813" s="34"/>
    </row>
    <row r="814" spans="4:22" s="2" customFormat="1" ht="27" customHeight="1" x14ac:dyDescent="0.3">
      <c r="D814" s="23"/>
      <c r="O814" s="98"/>
      <c r="U814" s="34"/>
      <c r="V814" s="34"/>
    </row>
    <row r="815" spans="4:22" s="2" customFormat="1" ht="27" customHeight="1" x14ac:dyDescent="0.3">
      <c r="D815" s="23"/>
      <c r="O815" s="98"/>
      <c r="U815" s="34"/>
      <c r="V815" s="34"/>
    </row>
    <row r="816" spans="4:22" s="2" customFormat="1" ht="27" customHeight="1" x14ac:dyDescent="0.3">
      <c r="D816" s="23"/>
      <c r="O816" s="98"/>
      <c r="U816" s="34"/>
      <c r="V816" s="34"/>
    </row>
    <row r="817" spans="4:22" s="2" customFormat="1" ht="27" customHeight="1" x14ac:dyDescent="0.3">
      <c r="D817" s="23"/>
      <c r="O817" s="98"/>
      <c r="U817" s="34"/>
      <c r="V817" s="34"/>
    </row>
    <row r="818" spans="4:22" s="2" customFormat="1" ht="27" customHeight="1" x14ac:dyDescent="0.3">
      <c r="D818" s="23"/>
      <c r="O818" s="98"/>
      <c r="U818" s="34"/>
      <c r="V818" s="34"/>
    </row>
    <row r="819" spans="4:22" s="2" customFormat="1" ht="27" customHeight="1" x14ac:dyDescent="0.3">
      <c r="D819" s="23"/>
      <c r="O819" s="98"/>
      <c r="U819" s="34"/>
      <c r="V819" s="34"/>
    </row>
    <row r="820" spans="4:22" s="2" customFormat="1" ht="27" customHeight="1" x14ac:dyDescent="0.3">
      <c r="D820" s="23"/>
      <c r="O820" s="98"/>
      <c r="U820" s="34"/>
      <c r="V820" s="34"/>
    </row>
    <row r="821" spans="4:22" s="2" customFormat="1" ht="27" customHeight="1" x14ac:dyDescent="0.3">
      <c r="D821" s="23"/>
      <c r="O821" s="98"/>
      <c r="U821" s="34"/>
      <c r="V821" s="34"/>
    </row>
    <row r="822" spans="4:22" s="2" customFormat="1" ht="27" customHeight="1" x14ac:dyDescent="0.3">
      <c r="D822" s="23"/>
      <c r="O822" s="98"/>
      <c r="U822" s="34"/>
      <c r="V822" s="34"/>
    </row>
    <row r="823" spans="4:22" s="2" customFormat="1" ht="27" customHeight="1" x14ac:dyDescent="0.3">
      <c r="D823" s="23"/>
      <c r="O823" s="98"/>
      <c r="U823" s="34"/>
      <c r="V823" s="34"/>
    </row>
    <row r="824" spans="4:22" s="2" customFormat="1" ht="27" customHeight="1" x14ac:dyDescent="0.3">
      <c r="D824" s="23"/>
      <c r="O824" s="98"/>
      <c r="U824" s="34"/>
      <c r="V824" s="34"/>
    </row>
    <row r="825" spans="4:22" s="2" customFormat="1" ht="27" customHeight="1" x14ac:dyDescent="0.3">
      <c r="D825" s="23"/>
      <c r="O825" s="98"/>
      <c r="U825" s="34"/>
      <c r="V825" s="34"/>
    </row>
    <row r="826" spans="4:22" s="2" customFormat="1" ht="27" customHeight="1" x14ac:dyDescent="0.3">
      <c r="D826" s="23"/>
      <c r="O826" s="98"/>
      <c r="U826" s="34"/>
      <c r="V826" s="34"/>
    </row>
    <row r="827" spans="4:22" s="2" customFormat="1" ht="27" customHeight="1" x14ac:dyDescent="0.3">
      <c r="D827" s="23"/>
      <c r="O827" s="98"/>
      <c r="U827" s="34"/>
      <c r="V827" s="34"/>
    </row>
    <row r="828" spans="4:22" s="2" customFormat="1" ht="27" customHeight="1" x14ac:dyDescent="0.3">
      <c r="D828" s="23"/>
      <c r="O828" s="98"/>
      <c r="U828" s="34"/>
      <c r="V828" s="34"/>
    </row>
    <row r="829" spans="4:22" s="2" customFormat="1" ht="27" customHeight="1" x14ac:dyDescent="0.3">
      <c r="D829" s="23"/>
      <c r="O829" s="98"/>
      <c r="U829" s="34"/>
      <c r="V829" s="34"/>
    </row>
    <row r="830" spans="4:22" s="2" customFormat="1" ht="27" customHeight="1" x14ac:dyDescent="0.3">
      <c r="D830" s="23"/>
      <c r="O830" s="98"/>
      <c r="U830" s="34"/>
      <c r="V830" s="34"/>
    </row>
    <row r="831" spans="4:22" s="2" customFormat="1" ht="27" customHeight="1" x14ac:dyDescent="0.3">
      <c r="D831" s="23"/>
      <c r="O831" s="98"/>
      <c r="U831" s="34"/>
      <c r="V831" s="34"/>
    </row>
    <row r="832" spans="4:22" s="2" customFormat="1" ht="27" customHeight="1" x14ac:dyDescent="0.3">
      <c r="D832" s="23"/>
      <c r="O832" s="98"/>
      <c r="U832" s="34"/>
      <c r="V832" s="34"/>
    </row>
    <row r="833" spans="4:22" s="2" customFormat="1" ht="27" customHeight="1" x14ac:dyDescent="0.3">
      <c r="D833" s="23"/>
      <c r="O833" s="98"/>
      <c r="U833" s="34"/>
      <c r="V833" s="34"/>
    </row>
    <row r="834" spans="4:22" s="2" customFormat="1" ht="27" customHeight="1" x14ac:dyDescent="0.3">
      <c r="D834" s="23"/>
      <c r="O834" s="98"/>
      <c r="U834" s="34"/>
      <c r="V834" s="34"/>
    </row>
    <row r="835" spans="4:22" s="2" customFormat="1" ht="27" customHeight="1" x14ac:dyDescent="0.3">
      <c r="D835" s="23"/>
      <c r="O835" s="98"/>
      <c r="U835" s="34"/>
      <c r="V835" s="34"/>
    </row>
    <row r="836" spans="4:22" s="2" customFormat="1" ht="27" customHeight="1" x14ac:dyDescent="0.3">
      <c r="D836" s="23"/>
      <c r="O836" s="98"/>
      <c r="U836" s="34"/>
      <c r="V836" s="34"/>
    </row>
    <row r="837" spans="4:22" s="2" customFormat="1" ht="27" customHeight="1" x14ac:dyDescent="0.3">
      <c r="D837" s="23"/>
      <c r="O837" s="98"/>
      <c r="U837" s="34"/>
      <c r="V837" s="34"/>
    </row>
    <row r="838" spans="4:22" s="2" customFormat="1" ht="27" customHeight="1" x14ac:dyDescent="0.3">
      <c r="D838" s="23"/>
      <c r="O838" s="98"/>
      <c r="U838" s="34"/>
      <c r="V838" s="34"/>
    </row>
    <row r="839" spans="4:22" s="2" customFormat="1" ht="27" customHeight="1" x14ac:dyDescent="0.3">
      <c r="D839" s="23"/>
      <c r="O839" s="98"/>
      <c r="U839" s="34"/>
      <c r="V839" s="34"/>
    </row>
    <row r="840" spans="4:22" s="2" customFormat="1" ht="27" customHeight="1" x14ac:dyDescent="0.3">
      <c r="D840" s="23"/>
      <c r="O840" s="98"/>
      <c r="U840" s="34"/>
      <c r="V840" s="34"/>
    </row>
    <row r="841" spans="4:22" s="2" customFormat="1" ht="27" customHeight="1" x14ac:dyDescent="0.3">
      <c r="D841" s="23"/>
      <c r="O841" s="98"/>
      <c r="U841" s="34"/>
      <c r="V841" s="34"/>
    </row>
    <row r="842" spans="4:22" s="2" customFormat="1" ht="27" customHeight="1" x14ac:dyDescent="0.3">
      <c r="D842" s="23"/>
      <c r="O842" s="98"/>
      <c r="U842" s="34"/>
      <c r="V842" s="34"/>
    </row>
    <row r="843" spans="4:22" s="2" customFormat="1" ht="27" customHeight="1" x14ac:dyDescent="0.3">
      <c r="D843" s="23"/>
      <c r="O843" s="98"/>
      <c r="U843" s="34"/>
      <c r="V843" s="34"/>
    </row>
    <row r="844" spans="4:22" s="2" customFormat="1" ht="27" customHeight="1" x14ac:dyDescent="0.3">
      <c r="D844" s="23"/>
      <c r="O844" s="98"/>
      <c r="U844" s="34"/>
      <c r="V844" s="34"/>
    </row>
    <row r="845" spans="4:22" s="2" customFormat="1" ht="27" customHeight="1" x14ac:dyDescent="0.3">
      <c r="D845" s="23"/>
      <c r="O845" s="98"/>
      <c r="U845" s="34"/>
      <c r="V845" s="34"/>
    </row>
    <row r="846" spans="4:22" s="2" customFormat="1" ht="27" customHeight="1" x14ac:dyDescent="0.3">
      <c r="D846" s="23"/>
      <c r="O846" s="98"/>
      <c r="U846" s="34"/>
      <c r="V846" s="34"/>
    </row>
    <row r="847" spans="4:22" s="2" customFormat="1" ht="27" customHeight="1" x14ac:dyDescent="0.3">
      <c r="D847" s="23"/>
      <c r="O847" s="98"/>
      <c r="U847" s="34"/>
      <c r="V847" s="34"/>
    </row>
    <row r="848" spans="4:22" s="2" customFormat="1" ht="27" customHeight="1" x14ac:dyDescent="0.3">
      <c r="D848" s="23"/>
      <c r="O848" s="98"/>
      <c r="U848" s="34"/>
      <c r="V848" s="34"/>
    </row>
    <row r="849" spans="4:22" s="2" customFormat="1" ht="27" customHeight="1" x14ac:dyDescent="0.3">
      <c r="D849" s="23"/>
      <c r="O849" s="98"/>
      <c r="U849" s="34"/>
      <c r="V849" s="34"/>
    </row>
    <row r="850" spans="4:22" s="2" customFormat="1" ht="27" customHeight="1" x14ac:dyDescent="0.3">
      <c r="D850" s="23"/>
      <c r="O850" s="98"/>
      <c r="U850" s="34"/>
      <c r="V850" s="34"/>
    </row>
    <row r="851" spans="4:22" s="2" customFormat="1" ht="27" customHeight="1" x14ac:dyDescent="0.3">
      <c r="D851" s="23"/>
      <c r="O851" s="98"/>
      <c r="U851" s="34"/>
      <c r="V851" s="34"/>
    </row>
    <row r="852" spans="4:22" s="2" customFormat="1" ht="27" customHeight="1" x14ac:dyDescent="0.3">
      <c r="D852" s="23"/>
      <c r="O852" s="98"/>
      <c r="U852" s="34"/>
      <c r="V852" s="34"/>
    </row>
    <row r="853" spans="4:22" s="2" customFormat="1" ht="27" customHeight="1" x14ac:dyDescent="0.3">
      <c r="D853" s="23"/>
      <c r="O853" s="98"/>
      <c r="U853" s="34"/>
      <c r="V853" s="34"/>
    </row>
    <row r="854" spans="4:22" s="2" customFormat="1" ht="27" customHeight="1" x14ac:dyDescent="0.3">
      <c r="D854" s="23"/>
      <c r="O854" s="98"/>
      <c r="U854" s="34"/>
      <c r="V854" s="34"/>
    </row>
    <row r="855" spans="4:22" s="2" customFormat="1" ht="27" customHeight="1" x14ac:dyDescent="0.3">
      <c r="D855" s="23"/>
      <c r="O855" s="98"/>
      <c r="U855" s="34"/>
      <c r="V855" s="34"/>
    </row>
    <row r="856" spans="4:22" s="2" customFormat="1" ht="27" customHeight="1" x14ac:dyDescent="0.3">
      <c r="D856" s="23"/>
      <c r="O856" s="98"/>
      <c r="U856" s="34"/>
      <c r="V856" s="34"/>
    </row>
    <row r="857" spans="4:22" s="2" customFormat="1" ht="27" customHeight="1" x14ac:dyDescent="0.3">
      <c r="D857" s="23"/>
      <c r="O857" s="98"/>
      <c r="U857" s="34"/>
      <c r="V857" s="34"/>
    </row>
    <row r="858" spans="4:22" s="2" customFormat="1" ht="27" customHeight="1" x14ac:dyDescent="0.3">
      <c r="D858" s="23"/>
      <c r="O858" s="98"/>
      <c r="U858" s="34"/>
      <c r="V858" s="34"/>
    </row>
    <row r="859" spans="4:22" s="2" customFormat="1" ht="27" customHeight="1" x14ac:dyDescent="0.3">
      <c r="D859" s="23"/>
      <c r="O859" s="98"/>
      <c r="U859" s="34"/>
      <c r="V859" s="34"/>
    </row>
    <row r="860" spans="4:22" s="2" customFormat="1" ht="27" customHeight="1" x14ac:dyDescent="0.3">
      <c r="D860" s="23"/>
      <c r="O860" s="98"/>
      <c r="U860" s="34"/>
      <c r="V860" s="34"/>
    </row>
    <row r="861" spans="4:22" s="2" customFormat="1" ht="27" customHeight="1" x14ac:dyDescent="0.3">
      <c r="D861" s="23"/>
      <c r="O861" s="98"/>
      <c r="U861" s="34"/>
      <c r="V861" s="34"/>
    </row>
    <row r="862" spans="4:22" s="2" customFormat="1" ht="27" customHeight="1" x14ac:dyDescent="0.3">
      <c r="D862" s="23"/>
      <c r="O862" s="98"/>
      <c r="U862" s="34"/>
      <c r="V862" s="34"/>
    </row>
    <row r="863" spans="4:22" s="2" customFormat="1" ht="27" customHeight="1" x14ac:dyDescent="0.3">
      <c r="D863" s="23"/>
      <c r="O863" s="98"/>
      <c r="U863" s="34"/>
      <c r="V863" s="34"/>
    </row>
    <row r="864" spans="4:22" s="2" customFormat="1" ht="27" customHeight="1" x14ac:dyDescent="0.3">
      <c r="D864" s="23"/>
      <c r="O864" s="98"/>
      <c r="U864" s="34"/>
      <c r="V864" s="34"/>
    </row>
    <row r="865" spans="4:22" s="2" customFormat="1" ht="27" customHeight="1" x14ac:dyDescent="0.3">
      <c r="D865" s="23"/>
      <c r="O865" s="98"/>
      <c r="U865" s="34"/>
      <c r="V865" s="34"/>
    </row>
    <row r="866" spans="4:22" s="2" customFormat="1" ht="27" customHeight="1" x14ac:dyDescent="0.3">
      <c r="D866" s="23"/>
      <c r="O866" s="98"/>
      <c r="U866" s="34"/>
      <c r="V866" s="34"/>
    </row>
    <row r="867" spans="4:22" s="2" customFormat="1" ht="27" customHeight="1" x14ac:dyDescent="0.3">
      <c r="D867" s="23"/>
      <c r="O867" s="98"/>
      <c r="U867" s="34"/>
      <c r="V867" s="34"/>
    </row>
    <row r="868" spans="4:22" s="2" customFormat="1" ht="27" customHeight="1" x14ac:dyDescent="0.3">
      <c r="D868" s="23"/>
      <c r="O868" s="98"/>
      <c r="U868" s="34"/>
      <c r="V868" s="34"/>
    </row>
    <row r="869" spans="4:22" s="2" customFormat="1" ht="27" customHeight="1" x14ac:dyDescent="0.3">
      <c r="D869" s="23"/>
      <c r="O869" s="98"/>
      <c r="U869" s="34"/>
      <c r="V869" s="34"/>
    </row>
    <row r="870" spans="4:22" s="2" customFormat="1" ht="27" customHeight="1" x14ac:dyDescent="0.3">
      <c r="D870" s="23"/>
      <c r="O870" s="98"/>
      <c r="U870" s="34"/>
      <c r="V870" s="34"/>
    </row>
    <row r="871" spans="4:22" s="2" customFormat="1" ht="27" customHeight="1" x14ac:dyDescent="0.3">
      <c r="D871" s="23"/>
      <c r="O871" s="98"/>
      <c r="U871" s="34"/>
      <c r="V871" s="34"/>
    </row>
    <row r="872" spans="4:22" s="2" customFormat="1" ht="27" customHeight="1" x14ac:dyDescent="0.3">
      <c r="D872" s="23"/>
      <c r="O872" s="98"/>
      <c r="U872" s="34"/>
      <c r="V872" s="34"/>
    </row>
    <row r="873" spans="4:22" s="2" customFormat="1" ht="27" customHeight="1" x14ac:dyDescent="0.3">
      <c r="D873" s="23"/>
      <c r="O873" s="98"/>
      <c r="U873" s="34"/>
      <c r="V873" s="34"/>
    </row>
    <row r="874" spans="4:22" s="2" customFormat="1" ht="27" customHeight="1" x14ac:dyDescent="0.3">
      <c r="D874" s="23"/>
      <c r="O874" s="98"/>
      <c r="U874" s="34"/>
      <c r="V874" s="34"/>
    </row>
    <row r="875" spans="4:22" s="2" customFormat="1" ht="27" customHeight="1" x14ac:dyDescent="0.3">
      <c r="D875" s="23"/>
      <c r="O875" s="98"/>
      <c r="U875" s="34"/>
      <c r="V875" s="34"/>
    </row>
    <row r="876" spans="4:22" s="2" customFormat="1" ht="27" customHeight="1" x14ac:dyDescent="0.3">
      <c r="D876" s="23"/>
      <c r="O876" s="98"/>
      <c r="U876" s="34"/>
      <c r="V876" s="34"/>
    </row>
    <row r="877" spans="4:22" s="2" customFormat="1" ht="27" customHeight="1" x14ac:dyDescent="0.3">
      <c r="D877" s="23"/>
      <c r="O877" s="98"/>
      <c r="U877" s="34"/>
      <c r="V877" s="34"/>
    </row>
    <row r="878" spans="4:22" s="2" customFormat="1" ht="27" customHeight="1" x14ac:dyDescent="0.3">
      <c r="D878" s="23"/>
      <c r="O878" s="98"/>
      <c r="U878" s="34"/>
      <c r="V878" s="34"/>
    </row>
    <row r="879" spans="4:22" s="2" customFormat="1" ht="27" customHeight="1" x14ac:dyDescent="0.3">
      <c r="D879" s="23"/>
      <c r="O879" s="98"/>
      <c r="U879" s="34"/>
      <c r="V879" s="34"/>
    </row>
    <row r="880" spans="4:22" s="2" customFormat="1" ht="27" customHeight="1" x14ac:dyDescent="0.3">
      <c r="D880" s="23"/>
      <c r="O880" s="98"/>
      <c r="U880" s="34"/>
      <c r="V880" s="34"/>
    </row>
    <row r="881" spans="4:22" s="2" customFormat="1" ht="27" customHeight="1" x14ac:dyDescent="0.3">
      <c r="D881" s="23"/>
      <c r="O881" s="98"/>
      <c r="U881" s="34"/>
      <c r="V881" s="34"/>
    </row>
    <row r="882" spans="4:22" s="2" customFormat="1" ht="27" customHeight="1" x14ac:dyDescent="0.3">
      <c r="D882" s="23"/>
      <c r="O882" s="98"/>
      <c r="U882" s="34"/>
      <c r="V882" s="34"/>
    </row>
    <row r="883" spans="4:22" s="2" customFormat="1" ht="27" customHeight="1" x14ac:dyDescent="0.3">
      <c r="D883" s="23"/>
      <c r="O883" s="98"/>
      <c r="U883" s="34"/>
      <c r="V883" s="34"/>
    </row>
    <row r="884" spans="4:22" s="2" customFormat="1" ht="27" customHeight="1" x14ac:dyDescent="0.3">
      <c r="D884" s="23"/>
      <c r="O884" s="98"/>
      <c r="U884" s="34"/>
      <c r="V884" s="34"/>
    </row>
    <row r="885" spans="4:22" s="2" customFormat="1" ht="27" customHeight="1" x14ac:dyDescent="0.3">
      <c r="D885" s="23"/>
      <c r="O885" s="98"/>
      <c r="U885" s="34"/>
      <c r="V885" s="34"/>
    </row>
    <row r="886" spans="4:22" s="2" customFormat="1" ht="27" customHeight="1" x14ac:dyDescent="0.3">
      <c r="D886" s="23"/>
      <c r="O886" s="98"/>
      <c r="U886" s="34"/>
      <c r="V886" s="34"/>
    </row>
    <row r="887" spans="4:22" s="2" customFormat="1" ht="27" customHeight="1" x14ac:dyDescent="0.3">
      <c r="D887" s="23"/>
      <c r="O887" s="98"/>
      <c r="U887" s="34"/>
      <c r="V887" s="34"/>
    </row>
    <row r="888" spans="4:22" s="2" customFormat="1" ht="27" customHeight="1" x14ac:dyDescent="0.3">
      <c r="D888" s="23"/>
      <c r="O888" s="98"/>
      <c r="U888" s="34"/>
      <c r="V888" s="34"/>
    </row>
    <row r="889" spans="4:22" s="2" customFormat="1" ht="27" customHeight="1" x14ac:dyDescent="0.3">
      <c r="D889" s="23"/>
      <c r="O889" s="98"/>
      <c r="U889" s="34"/>
      <c r="V889" s="34"/>
    </row>
    <row r="890" spans="4:22" s="2" customFormat="1" ht="27" customHeight="1" x14ac:dyDescent="0.3">
      <c r="D890" s="23"/>
      <c r="O890" s="98"/>
      <c r="U890" s="34"/>
      <c r="V890" s="34"/>
    </row>
    <row r="891" spans="4:22" s="2" customFormat="1" ht="27" customHeight="1" x14ac:dyDescent="0.3">
      <c r="D891" s="23"/>
      <c r="O891" s="98"/>
      <c r="U891" s="34"/>
      <c r="V891" s="34"/>
    </row>
    <row r="892" spans="4:22" s="2" customFormat="1" ht="27" customHeight="1" x14ac:dyDescent="0.3">
      <c r="D892" s="23"/>
      <c r="O892" s="98"/>
      <c r="U892" s="34"/>
      <c r="V892" s="34"/>
    </row>
    <row r="893" spans="4:22" s="2" customFormat="1" ht="27" customHeight="1" x14ac:dyDescent="0.3">
      <c r="D893" s="23"/>
      <c r="O893" s="98"/>
      <c r="U893" s="34"/>
      <c r="V893" s="34"/>
    </row>
    <row r="894" spans="4:22" s="2" customFormat="1" ht="27" customHeight="1" x14ac:dyDescent="0.3">
      <c r="D894" s="23"/>
      <c r="O894" s="98"/>
      <c r="U894" s="34"/>
      <c r="V894" s="34"/>
    </row>
    <row r="895" spans="4:22" s="2" customFormat="1" ht="27" customHeight="1" x14ac:dyDescent="0.3">
      <c r="D895" s="23"/>
      <c r="O895" s="98"/>
      <c r="U895" s="34"/>
      <c r="V895" s="34"/>
    </row>
    <row r="896" spans="4:22" s="2" customFormat="1" ht="27" customHeight="1" x14ac:dyDescent="0.3">
      <c r="D896" s="23"/>
      <c r="O896" s="98"/>
      <c r="U896" s="34"/>
      <c r="V896" s="34"/>
    </row>
    <row r="897" spans="4:22" s="2" customFormat="1" ht="27" customHeight="1" x14ac:dyDescent="0.3">
      <c r="D897" s="23"/>
      <c r="O897" s="98"/>
      <c r="U897" s="34"/>
      <c r="V897" s="34"/>
    </row>
    <row r="898" spans="4:22" s="2" customFormat="1" ht="27" customHeight="1" x14ac:dyDescent="0.3">
      <c r="D898" s="23"/>
      <c r="O898" s="98"/>
      <c r="U898" s="34"/>
      <c r="V898" s="34"/>
    </row>
    <row r="899" spans="4:22" s="2" customFormat="1" ht="27" customHeight="1" x14ac:dyDescent="0.3">
      <c r="D899" s="23"/>
      <c r="O899" s="98"/>
      <c r="U899" s="34"/>
      <c r="V899" s="34"/>
    </row>
    <row r="900" spans="4:22" s="2" customFormat="1" ht="27" customHeight="1" x14ac:dyDescent="0.3">
      <c r="D900" s="23"/>
      <c r="O900" s="98"/>
      <c r="U900" s="34"/>
      <c r="V900" s="34"/>
    </row>
    <row r="901" spans="4:22" s="2" customFormat="1" ht="27" customHeight="1" x14ac:dyDescent="0.3">
      <c r="D901" s="23"/>
      <c r="O901" s="98"/>
      <c r="U901" s="34"/>
      <c r="V901" s="34"/>
    </row>
    <row r="902" spans="4:22" s="2" customFormat="1" ht="27" customHeight="1" x14ac:dyDescent="0.3">
      <c r="D902" s="23"/>
      <c r="O902" s="98"/>
      <c r="U902" s="34"/>
      <c r="V902" s="34"/>
    </row>
    <row r="903" spans="4:22" s="2" customFormat="1" ht="27" customHeight="1" x14ac:dyDescent="0.3">
      <c r="D903" s="23"/>
      <c r="O903" s="98"/>
      <c r="U903" s="34"/>
      <c r="V903" s="34"/>
    </row>
    <row r="904" spans="4:22" s="2" customFormat="1" ht="27" customHeight="1" x14ac:dyDescent="0.3">
      <c r="D904" s="23"/>
      <c r="O904" s="98"/>
      <c r="U904" s="34"/>
      <c r="V904" s="34"/>
    </row>
    <row r="905" spans="4:22" s="2" customFormat="1" ht="27" customHeight="1" x14ac:dyDescent="0.3">
      <c r="D905" s="23"/>
      <c r="O905" s="98"/>
      <c r="U905" s="34"/>
      <c r="V905" s="34"/>
    </row>
    <row r="906" spans="4:22" s="2" customFormat="1" ht="27" customHeight="1" x14ac:dyDescent="0.3">
      <c r="D906" s="23"/>
      <c r="O906" s="98"/>
      <c r="U906" s="34"/>
      <c r="V906" s="34"/>
    </row>
    <row r="907" spans="4:22" s="2" customFormat="1" ht="27" customHeight="1" x14ac:dyDescent="0.3">
      <c r="D907" s="23"/>
      <c r="O907" s="98"/>
      <c r="U907" s="34"/>
      <c r="V907" s="34"/>
    </row>
    <row r="908" spans="4:22" s="2" customFormat="1" ht="27" customHeight="1" x14ac:dyDescent="0.3">
      <c r="D908" s="23"/>
      <c r="O908" s="98"/>
      <c r="U908" s="34"/>
      <c r="V908" s="34"/>
    </row>
    <row r="909" spans="4:22" s="2" customFormat="1" ht="27" customHeight="1" x14ac:dyDescent="0.3">
      <c r="D909" s="23"/>
      <c r="O909" s="98"/>
      <c r="U909" s="34"/>
      <c r="V909" s="34"/>
    </row>
    <row r="910" spans="4:22" s="2" customFormat="1" ht="27" customHeight="1" x14ac:dyDescent="0.3">
      <c r="D910" s="23"/>
      <c r="O910" s="98"/>
      <c r="U910" s="34"/>
      <c r="V910" s="34"/>
    </row>
    <row r="911" spans="4:22" s="2" customFormat="1" ht="27" customHeight="1" x14ac:dyDescent="0.3">
      <c r="D911" s="23"/>
      <c r="O911" s="98"/>
      <c r="U911" s="34"/>
      <c r="V911" s="34"/>
    </row>
    <row r="912" spans="4:22" s="2" customFormat="1" ht="27" customHeight="1" x14ac:dyDescent="0.3">
      <c r="D912" s="23"/>
      <c r="O912" s="98"/>
      <c r="U912" s="34"/>
      <c r="V912" s="34"/>
    </row>
    <row r="913" spans="4:22" s="2" customFormat="1" ht="27" customHeight="1" x14ac:dyDescent="0.3">
      <c r="D913" s="23"/>
      <c r="O913" s="98"/>
      <c r="U913" s="34"/>
      <c r="V913" s="34"/>
    </row>
    <row r="914" spans="4:22" s="2" customFormat="1" ht="27" customHeight="1" x14ac:dyDescent="0.3">
      <c r="D914" s="23"/>
      <c r="O914" s="98"/>
      <c r="U914" s="34"/>
      <c r="V914" s="34"/>
    </row>
    <row r="915" spans="4:22" s="2" customFormat="1" ht="27" customHeight="1" x14ac:dyDescent="0.3">
      <c r="D915" s="23"/>
      <c r="O915" s="98"/>
      <c r="U915" s="34"/>
      <c r="V915" s="34"/>
    </row>
    <row r="916" spans="4:22" s="2" customFormat="1" ht="27" customHeight="1" x14ac:dyDescent="0.3">
      <c r="D916" s="23"/>
      <c r="O916" s="98"/>
      <c r="U916" s="34"/>
      <c r="V916" s="34"/>
    </row>
    <row r="917" spans="4:22" s="2" customFormat="1" ht="27" customHeight="1" x14ac:dyDescent="0.3">
      <c r="D917" s="23"/>
      <c r="O917" s="98"/>
      <c r="U917" s="34"/>
      <c r="V917" s="34"/>
    </row>
    <row r="918" spans="4:22" s="2" customFormat="1" ht="27" customHeight="1" x14ac:dyDescent="0.3">
      <c r="D918" s="23"/>
      <c r="O918" s="98"/>
      <c r="U918" s="34"/>
      <c r="V918" s="34"/>
    </row>
    <row r="919" spans="4:22" s="2" customFormat="1" ht="27" customHeight="1" x14ac:dyDescent="0.3">
      <c r="D919" s="23"/>
      <c r="O919" s="98"/>
      <c r="U919" s="34"/>
      <c r="V919" s="34"/>
    </row>
    <row r="920" spans="4:22" s="2" customFormat="1" ht="27" customHeight="1" x14ac:dyDescent="0.3">
      <c r="D920" s="23"/>
      <c r="O920" s="98"/>
      <c r="U920" s="34"/>
      <c r="V920" s="34"/>
    </row>
    <row r="921" spans="4:22" s="2" customFormat="1" ht="27" customHeight="1" x14ac:dyDescent="0.3">
      <c r="D921" s="23"/>
      <c r="O921" s="98"/>
      <c r="U921" s="34"/>
      <c r="V921" s="34"/>
    </row>
    <row r="922" spans="4:22" s="2" customFormat="1" ht="27" customHeight="1" x14ac:dyDescent="0.3">
      <c r="D922" s="23"/>
      <c r="O922" s="98"/>
      <c r="U922" s="34"/>
      <c r="V922" s="34"/>
    </row>
    <row r="923" spans="4:22" s="2" customFormat="1" ht="27" customHeight="1" x14ac:dyDescent="0.3">
      <c r="D923" s="23"/>
      <c r="O923" s="98"/>
      <c r="U923" s="34"/>
      <c r="V923" s="34"/>
    </row>
    <row r="924" spans="4:22" s="2" customFormat="1" ht="27" customHeight="1" x14ac:dyDescent="0.3">
      <c r="D924" s="23"/>
      <c r="O924" s="98"/>
      <c r="U924" s="34"/>
      <c r="V924" s="34"/>
    </row>
    <row r="925" spans="4:22" s="2" customFormat="1" ht="27" customHeight="1" x14ac:dyDescent="0.3">
      <c r="D925" s="23"/>
      <c r="O925" s="98"/>
      <c r="U925" s="34"/>
      <c r="V925" s="34"/>
    </row>
    <row r="926" spans="4:22" s="2" customFormat="1" ht="27" customHeight="1" x14ac:dyDescent="0.3">
      <c r="D926" s="23"/>
      <c r="O926" s="98"/>
      <c r="U926" s="34"/>
      <c r="V926" s="34"/>
    </row>
    <row r="927" spans="4:22" s="2" customFormat="1" ht="27" customHeight="1" x14ac:dyDescent="0.3">
      <c r="D927" s="23"/>
      <c r="O927" s="98"/>
      <c r="U927" s="34"/>
      <c r="V927" s="34"/>
    </row>
    <row r="928" spans="4:22" s="2" customFormat="1" ht="27" customHeight="1" x14ac:dyDescent="0.3">
      <c r="D928" s="23"/>
      <c r="O928" s="98"/>
      <c r="U928" s="34"/>
      <c r="V928" s="34"/>
    </row>
    <row r="929" spans="4:22" s="2" customFormat="1" ht="27" customHeight="1" x14ac:dyDescent="0.3">
      <c r="D929" s="23"/>
      <c r="O929" s="98"/>
      <c r="U929" s="34"/>
      <c r="V929" s="34"/>
    </row>
    <row r="930" spans="4:22" s="2" customFormat="1" ht="27" customHeight="1" x14ac:dyDescent="0.3">
      <c r="D930" s="23"/>
      <c r="O930" s="98"/>
      <c r="U930" s="34"/>
      <c r="V930" s="34"/>
    </row>
    <row r="931" spans="4:22" s="2" customFormat="1" ht="27" customHeight="1" x14ac:dyDescent="0.3">
      <c r="D931" s="23"/>
      <c r="O931" s="98"/>
      <c r="U931" s="34"/>
      <c r="V931" s="34"/>
    </row>
    <row r="932" spans="4:22" s="2" customFormat="1" ht="27" customHeight="1" x14ac:dyDescent="0.3">
      <c r="D932" s="23"/>
      <c r="O932" s="98"/>
      <c r="U932" s="34"/>
      <c r="V932" s="34"/>
    </row>
    <row r="933" spans="4:22" s="2" customFormat="1" ht="27" customHeight="1" x14ac:dyDescent="0.3">
      <c r="D933" s="23"/>
      <c r="O933" s="98"/>
      <c r="U933" s="34"/>
      <c r="V933" s="34"/>
    </row>
    <row r="934" spans="4:22" s="2" customFormat="1" ht="27" customHeight="1" x14ac:dyDescent="0.3">
      <c r="D934" s="23"/>
      <c r="O934" s="98"/>
      <c r="U934" s="34"/>
      <c r="V934" s="34"/>
    </row>
    <row r="935" spans="4:22" s="2" customFormat="1" ht="27" customHeight="1" x14ac:dyDescent="0.3">
      <c r="D935" s="23"/>
      <c r="O935" s="98"/>
      <c r="U935" s="34"/>
      <c r="V935" s="34"/>
    </row>
    <row r="936" spans="4:22" s="2" customFormat="1" ht="27" customHeight="1" x14ac:dyDescent="0.3">
      <c r="D936" s="23"/>
      <c r="O936" s="98"/>
      <c r="U936" s="34"/>
      <c r="V936" s="34"/>
    </row>
    <row r="937" spans="4:22" s="2" customFormat="1" ht="27" customHeight="1" x14ac:dyDescent="0.3">
      <c r="D937" s="23"/>
      <c r="O937" s="98"/>
      <c r="U937" s="34"/>
      <c r="V937" s="34"/>
    </row>
    <row r="938" spans="4:22" s="2" customFormat="1" ht="27" customHeight="1" x14ac:dyDescent="0.3">
      <c r="D938" s="23"/>
      <c r="O938" s="98"/>
      <c r="U938" s="34"/>
      <c r="V938" s="34"/>
    </row>
    <row r="939" spans="4:22" s="2" customFormat="1" ht="27" customHeight="1" x14ac:dyDescent="0.3">
      <c r="D939" s="23"/>
      <c r="O939" s="98"/>
      <c r="U939" s="34"/>
      <c r="V939" s="34"/>
    </row>
    <row r="940" spans="4:22" s="2" customFormat="1" ht="27" customHeight="1" x14ac:dyDescent="0.3">
      <c r="D940" s="23"/>
      <c r="O940" s="98"/>
      <c r="U940" s="34"/>
      <c r="V940" s="34"/>
    </row>
    <row r="941" spans="4:22" s="2" customFormat="1" ht="27" customHeight="1" x14ac:dyDescent="0.3">
      <c r="D941" s="23"/>
      <c r="O941" s="98"/>
      <c r="U941" s="34"/>
      <c r="V941" s="34"/>
    </row>
    <row r="942" spans="4:22" s="2" customFormat="1" ht="27" customHeight="1" x14ac:dyDescent="0.3">
      <c r="D942" s="23"/>
      <c r="O942" s="98"/>
      <c r="U942" s="34"/>
      <c r="V942" s="34"/>
    </row>
    <row r="943" spans="4:22" s="2" customFormat="1" ht="27" customHeight="1" x14ac:dyDescent="0.3">
      <c r="D943" s="23"/>
      <c r="O943" s="98"/>
      <c r="U943" s="34"/>
      <c r="V943" s="34"/>
    </row>
    <row r="944" spans="4:22" s="2" customFormat="1" ht="27" customHeight="1" x14ac:dyDescent="0.3">
      <c r="D944" s="23"/>
      <c r="O944" s="98"/>
      <c r="U944" s="34"/>
      <c r="V944" s="34"/>
    </row>
    <row r="945" spans="4:22" s="2" customFormat="1" ht="27" customHeight="1" x14ac:dyDescent="0.3">
      <c r="D945" s="23"/>
      <c r="O945" s="98"/>
      <c r="U945" s="34"/>
      <c r="V945" s="34"/>
    </row>
    <row r="946" spans="4:22" s="2" customFormat="1" ht="27" customHeight="1" x14ac:dyDescent="0.3">
      <c r="D946" s="23"/>
      <c r="O946" s="98"/>
      <c r="U946" s="34"/>
      <c r="V946" s="34"/>
    </row>
    <row r="947" spans="4:22" s="2" customFormat="1" ht="27" customHeight="1" x14ac:dyDescent="0.3">
      <c r="D947" s="23"/>
      <c r="O947" s="98"/>
      <c r="U947" s="34"/>
      <c r="V947" s="34"/>
    </row>
    <row r="948" spans="4:22" s="2" customFormat="1" ht="27" customHeight="1" x14ac:dyDescent="0.3">
      <c r="D948" s="23"/>
      <c r="O948" s="98"/>
      <c r="U948" s="34"/>
      <c r="V948" s="34"/>
    </row>
    <row r="949" spans="4:22" s="2" customFormat="1" ht="27" customHeight="1" x14ac:dyDescent="0.3">
      <c r="D949" s="23"/>
      <c r="O949" s="98"/>
      <c r="U949" s="34"/>
      <c r="V949" s="34"/>
    </row>
    <row r="950" spans="4:22" s="2" customFormat="1" ht="27" customHeight="1" x14ac:dyDescent="0.3">
      <c r="D950" s="23"/>
      <c r="O950" s="98"/>
      <c r="U950" s="34"/>
      <c r="V950" s="34"/>
    </row>
    <row r="951" spans="4:22" s="2" customFormat="1" ht="27" customHeight="1" x14ac:dyDescent="0.3">
      <c r="D951" s="23"/>
      <c r="O951" s="98"/>
      <c r="U951" s="34"/>
      <c r="V951" s="34"/>
    </row>
    <row r="952" spans="4:22" s="2" customFormat="1" ht="27" customHeight="1" x14ac:dyDescent="0.3">
      <c r="D952" s="23"/>
      <c r="O952" s="98"/>
      <c r="U952" s="34"/>
      <c r="V952" s="34"/>
    </row>
    <row r="953" spans="4:22" s="2" customFormat="1" ht="27" customHeight="1" x14ac:dyDescent="0.3">
      <c r="D953" s="23"/>
      <c r="O953" s="98"/>
      <c r="U953" s="34"/>
      <c r="V953" s="34"/>
    </row>
    <row r="954" spans="4:22" s="2" customFormat="1" ht="27" customHeight="1" x14ac:dyDescent="0.3">
      <c r="D954" s="23"/>
      <c r="O954" s="98"/>
      <c r="U954" s="34"/>
      <c r="V954" s="34"/>
    </row>
    <row r="955" spans="4:22" s="2" customFormat="1" ht="27" customHeight="1" x14ac:dyDescent="0.3">
      <c r="D955" s="23"/>
      <c r="O955" s="98"/>
      <c r="U955" s="34"/>
      <c r="V955" s="34"/>
    </row>
    <row r="956" spans="4:22" s="2" customFormat="1" ht="27" customHeight="1" x14ac:dyDescent="0.3">
      <c r="D956" s="23"/>
      <c r="O956" s="98"/>
      <c r="U956" s="34"/>
      <c r="V956" s="34"/>
    </row>
    <row r="957" spans="4:22" s="2" customFormat="1" ht="27" customHeight="1" x14ac:dyDescent="0.3">
      <c r="D957" s="23"/>
      <c r="O957" s="98"/>
      <c r="U957" s="34"/>
      <c r="V957" s="34"/>
    </row>
    <row r="958" spans="4:22" s="2" customFormat="1" ht="27" customHeight="1" x14ac:dyDescent="0.3">
      <c r="D958" s="23"/>
      <c r="O958" s="98"/>
      <c r="U958" s="34"/>
      <c r="V958" s="34"/>
    </row>
    <row r="959" spans="4:22" s="2" customFormat="1" ht="27" customHeight="1" x14ac:dyDescent="0.3">
      <c r="D959" s="23"/>
      <c r="O959" s="98"/>
      <c r="U959" s="34"/>
      <c r="V959" s="34"/>
    </row>
    <row r="960" spans="4:22" s="2" customFormat="1" ht="27" customHeight="1" x14ac:dyDescent="0.3">
      <c r="D960" s="23"/>
      <c r="O960" s="98"/>
      <c r="U960" s="34"/>
      <c r="V960" s="34"/>
    </row>
    <row r="961" spans="4:22" s="2" customFormat="1" ht="27" customHeight="1" x14ac:dyDescent="0.3">
      <c r="D961" s="23"/>
      <c r="O961" s="98"/>
      <c r="U961" s="34"/>
      <c r="V961" s="34"/>
    </row>
    <row r="962" spans="4:22" s="2" customFormat="1" ht="27" customHeight="1" x14ac:dyDescent="0.3">
      <c r="D962" s="23"/>
      <c r="O962" s="98"/>
      <c r="U962" s="34"/>
      <c r="V962" s="34"/>
    </row>
    <row r="963" spans="4:22" s="2" customFormat="1" ht="27" customHeight="1" x14ac:dyDescent="0.3">
      <c r="D963" s="23"/>
      <c r="O963" s="98"/>
      <c r="U963" s="34"/>
      <c r="V963" s="34"/>
    </row>
    <row r="964" spans="4:22" s="2" customFormat="1" ht="27" customHeight="1" x14ac:dyDescent="0.3">
      <c r="D964" s="23"/>
      <c r="O964" s="98"/>
      <c r="U964" s="34"/>
      <c r="V964" s="34"/>
    </row>
    <row r="965" spans="4:22" s="2" customFormat="1" ht="27" customHeight="1" x14ac:dyDescent="0.3">
      <c r="D965" s="23"/>
      <c r="O965" s="98"/>
      <c r="U965" s="34"/>
      <c r="V965" s="34"/>
    </row>
    <row r="966" spans="4:22" s="2" customFormat="1" ht="27" customHeight="1" x14ac:dyDescent="0.3">
      <c r="D966" s="23"/>
      <c r="O966" s="98"/>
      <c r="U966" s="34"/>
      <c r="V966" s="34"/>
    </row>
    <row r="967" spans="4:22" s="2" customFormat="1" ht="27" customHeight="1" x14ac:dyDescent="0.3">
      <c r="D967" s="23"/>
      <c r="O967" s="98"/>
      <c r="U967" s="34"/>
      <c r="V967" s="34"/>
    </row>
    <row r="968" spans="4:22" s="2" customFormat="1" ht="27" customHeight="1" x14ac:dyDescent="0.3">
      <c r="D968" s="23"/>
      <c r="O968" s="98"/>
      <c r="U968" s="34"/>
      <c r="V968" s="34"/>
    </row>
    <row r="969" spans="4:22" s="2" customFormat="1" ht="27" customHeight="1" x14ac:dyDescent="0.3">
      <c r="D969" s="23"/>
      <c r="O969" s="98"/>
      <c r="U969" s="34"/>
      <c r="V969" s="34"/>
    </row>
    <row r="970" spans="4:22" s="2" customFormat="1" ht="27" customHeight="1" x14ac:dyDescent="0.3">
      <c r="D970" s="23"/>
      <c r="O970" s="98"/>
      <c r="U970" s="34"/>
      <c r="V970" s="34"/>
    </row>
    <row r="971" spans="4:22" s="2" customFormat="1" ht="27" customHeight="1" x14ac:dyDescent="0.3">
      <c r="D971" s="23"/>
      <c r="O971" s="98"/>
      <c r="U971" s="34"/>
      <c r="V971" s="34"/>
    </row>
    <row r="972" spans="4:22" s="2" customFormat="1" ht="27" customHeight="1" x14ac:dyDescent="0.3">
      <c r="D972" s="23"/>
      <c r="O972" s="98"/>
      <c r="U972" s="34"/>
      <c r="V972" s="34"/>
    </row>
    <row r="973" spans="4:22" s="2" customFormat="1" ht="27" customHeight="1" x14ac:dyDescent="0.3">
      <c r="D973" s="23"/>
      <c r="O973" s="98"/>
      <c r="U973" s="34"/>
      <c r="V973" s="34"/>
    </row>
    <row r="974" spans="4:22" s="2" customFormat="1" ht="27" customHeight="1" x14ac:dyDescent="0.3">
      <c r="D974" s="23"/>
      <c r="O974" s="98"/>
      <c r="U974" s="34"/>
      <c r="V974" s="34"/>
    </row>
    <row r="975" spans="4:22" s="2" customFormat="1" ht="27" customHeight="1" x14ac:dyDescent="0.3">
      <c r="D975" s="23"/>
      <c r="O975" s="98"/>
      <c r="U975" s="34"/>
      <c r="V975" s="34"/>
    </row>
    <row r="976" spans="4:22" s="2" customFormat="1" ht="27" customHeight="1" x14ac:dyDescent="0.3">
      <c r="D976" s="23"/>
      <c r="O976" s="98"/>
      <c r="U976" s="34"/>
      <c r="V976" s="34"/>
    </row>
    <row r="977" spans="4:22" s="2" customFormat="1" ht="27" customHeight="1" x14ac:dyDescent="0.3">
      <c r="D977" s="23"/>
      <c r="O977" s="98"/>
      <c r="U977" s="34"/>
      <c r="V977" s="34"/>
    </row>
    <row r="978" spans="4:22" s="2" customFormat="1" ht="27" customHeight="1" x14ac:dyDescent="0.3">
      <c r="D978" s="23"/>
      <c r="O978" s="98"/>
      <c r="U978" s="34"/>
      <c r="V978" s="34"/>
    </row>
    <row r="979" spans="4:22" s="2" customFormat="1" ht="27" customHeight="1" x14ac:dyDescent="0.3">
      <c r="D979" s="23"/>
      <c r="O979" s="98"/>
      <c r="U979" s="34"/>
      <c r="V979" s="34"/>
    </row>
    <row r="980" spans="4:22" s="2" customFormat="1" ht="27" customHeight="1" x14ac:dyDescent="0.3">
      <c r="D980" s="23"/>
      <c r="O980" s="98"/>
      <c r="U980" s="34"/>
      <c r="V980" s="34"/>
    </row>
    <row r="981" spans="4:22" s="2" customFormat="1" ht="27" customHeight="1" x14ac:dyDescent="0.3">
      <c r="D981" s="23"/>
      <c r="O981" s="98"/>
      <c r="U981" s="34"/>
      <c r="V981" s="34"/>
    </row>
    <row r="982" spans="4:22" s="2" customFormat="1" ht="27" customHeight="1" x14ac:dyDescent="0.3">
      <c r="D982" s="23"/>
      <c r="O982" s="98"/>
      <c r="U982" s="34"/>
      <c r="V982" s="34"/>
    </row>
    <row r="983" spans="4:22" s="2" customFormat="1" ht="27" customHeight="1" x14ac:dyDescent="0.3">
      <c r="D983" s="23"/>
      <c r="O983" s="98"/>
      <c r="U983" s="34"/>
      <c r="V983" s="34"/>
    </row>
    <row r="984" spans="4:22" s="2" customFormat="1" ht="27" customHeight="1" x14ac:dyDescent="0.3">
      <c r="D984" s="23"/>
      <c r="O984" s="98"/>
      <c r="U984" s="34"/>
      <c r="V984" s="34"/>
    </row>
    <row r="985" spans="4:22" s="2" customFormat="1" ht="27" customHeight="1" x14ac:dyDescent="0.3">
      <c r="D985" s="23"/>
      <c r="O985" s="98"/>
      <c r="U985" s="34"/>
      <c r="V985" s="34"/>
    </row>
    <row r="986" spans="4:22" s="2" customFormat="1" ht="27" customHeight="1" x14ac:dyDescent="0.3">
      <c r="D986" s="23"/>
      <c r="O986" s="98"/>
      <c r="U986" s="34"/>
      <c r="V986" s="34"/>
    </row>
    <row r="987" spans="4:22" s="2" customFormat="1" ht="27" customHeight="1" x14ac:dyDescent="0.3">
      <c r="D987" s="23"/>
      <c r="O987" s="98"/>
      <c r="U987" s="34"/>
      <c r="V987" s="34"/>
    </row>
    <row r="988" spans="4:22" s="2" customFormat="1" ht="27" customHeight="1" x14ac:dyDescent="0.3">
      <c r="D988" s="23"/>
      <c r="O988" s="98"/>
      <c r="U988" s="34"/>
      <c r="V988" s="34"/>
    </row>
    <row r="989" spans="4:22" s="2" customFormat="1" ht="27" customHeight="1" x14ac:dyDescent="0.3">
      <c r="D989" s="23"/>
      <c r="O989" s="98"/>
      <c r="U989" s="34"/>
      <c r="V989" s="34"/>
    </row>
    <row r="990" spans="4:22" s="2" customFormat="1" ht="27" customHeight="1" x14ac:dyDescent="0.3">
      <c r="D990" s="23"/>
      <c r="O990" s="98"/>
      <c r="U990" s="34"/>
      <c r="V990" s="34"/>
    </row>
    <row r="991" spans="4:22" s="2" customFormat="1" ht="27" customHeight="1" x14ac:dyDescent="0.3">
      <c r="D991" s="23"/>
      <c r="O991" s="98"/>
      <c r="U991" s="34"/>
      <c r="V991" s="34"/>
    </row>
    <row r="992" spans="4:22" s="2" customFormat="1" ht="27" customHeight="1" x14ac:dyDescent="0.3">
      <c r="D992" s="23"/>
      <c r="O992" s="98"/>
      <c r="U992" s="34"/>
      <c r="V992" s="34"/>
    </row>
    <row r="993" spans="4:22" s="2" customFormat="1" ht="27" customHeight="1" x14ac:dyDescent="0.3">
      <c r="D993" s="23"/>
      <c r="O993" s="98"/>
      <c r="U993" s="34"/>
      <c r="V993" s="34"/>
    </row>
    <row r="994" spans="4:22" s="2" customFormat="1" ht="27" customHeight="1" x14ac:dyDescent="0.3">
      <c r="D994" s="23"/>
      <c r="O994" s="98"/>
      <c r="U994" s="34"/>
      <c r="V994" s="34"/>
    </row>
    <row r="995" spans="4:22" s="2" customFormat="1" ht="27" customHeight="1" x14ac:dyDescent="0.3">
      <c r="D995" s="23"/>
      <c r="O995" s="98"/>
      <c r="U995" s="34"/>
      <c r="V995" s="34"/>
    </row>
    <row r="996" spans="4:22" s="2" customFormat="1" ht="27" customHeight="1" x14ac:dyDescent="0.3">
      <c r="D996" s="23"/>
      <c r="O996" s="98"/>
      <c r="U996" s="34"/>
      <c r="V996" s="34"/>
    </row>
    <row r="997" spans="4:22" s="2" customFormat="1" ht="27" customHeight="1" x14ac:dyDescent="0.3">
      <c r="D997" s="23"/>
      <c r="O997" s="98"/>
      <c r="U997" s="34"/>
      <c r="V997" s="34"/>
    </row>
    <row r="998" spans="4:22" s="2" customFormat="1" ht="27" customHeight="1" x14ac:dyDescent="0.3">
      <c r="D998" s="23"/>
      <c r="O998" s="98"/>
      <c r="U998" s="34"/>
      <c r="V998" s="34"/>
    </row>
    <row r="999" spans="4:22" s="2" customFormat="1" ht="27" customHeight="1" x14ac:dyDescent="0.3">
      <c r="D999" s="23"/>
      <c r="O999" s="98"/>
      <c r="U999" s="34"/>
      <c r="V999" s="34"/>
    </row>
    <row r="1000" spans="4:22" s="2" customFormat="1" ht="27" customHeight="1" x14ac:dyDescent="0.3">
      <c r="D1000" s="23"/>
      <c r="O1000" s="98"/>
      <c r="U1000" s="34"/>
      <c r="V1000" s="34"/>
    </row>
    <row r="1001" spans="4:22" s="2" customFormat="1" ht="27" customHeight="1" x14ac:dyDescent="0.3">
      <c r="D1001" s="23"/>
      <c r="O1001" s="98"/>
      <c r="U1001" s="34"/>
      <c r="V1001" s="34"/>
    </row>
    <row r="1002" spans="4:22" s="2" customFormat="1" ht="27" customHeight="1" x14ac:dyDescent="0.3">
      <c r="D1002" s="23"/>
      <c r="O1002" s="98"/>
      <c r="U1002" s="34"/>
      <c r="V1002" s="34"/>
    </row>
    <row r="1003" spans="4:22" s="2" customFormat="1" ht="27" customHeight="1" x14ac:dyDescent="0.3">
      <c r="D1003" s="23"/>
      <c r="O1003" s="98"/>
      <c r="U1003" s="34"/>
      <c r="V1003" s="34"/>
    </row>
    <row r="1004" spans="4:22" s="2" customFormat="1" ht="27" customHeight="1" x14ac:dyDescent="0.3">
      <c r="D1004" s="23"/>
      <c r="O1004" s="98"/>
      <c r="U1004" s="34"/>
      <c r="V1004" s="34"/>
    </row>
    <row r="1005" spans="4:22" s="2" customFormat="1" ht="27" customHeight="1" x14ac:dyDescent="0.3">
      <c r="D1005" s="23"/>
      <c r="O1005" s="98"/>
      <c r="U1005" s="34"/>
      <c r="V1005" s="34"/>
    </row>
    <row r="1006" spans="4:22" s="2" customFormat="1" ht="27" customHeight="1" x14ac:dyDescent="0.3">
      <c r="D1006" s="23"/>
      <c r="O1006" s="98"/>
      <c r="U1006" s="34"/>
      <c r="V1006" s="34"/>
    </row>
    <row r="1007" spans="4:22" s="2" customFormat="1" ht="27" customHeight="1" x14ac:dyDescent="0.3">
      <c r="D1007" s="23"/>
      <c r="O1007" s="98"/>
      <c r="U1007" s="34"/>
      <c r="V1007" s="34"/>
    </row>
    <row r="1008" spans="4:22" s="2" customFormat="1" ht="27" customHeight="1" x14ac:dyDescent="0.3">
      <c r="D1008" s="23"/>
      <c r="O1008" s="98"/>
      <c r="U1008" s="34"/>
      <c r="V1008" s="34"/>
    </row>
    <row r="1009" spans="4:22" s="2" customFormat="1" ht="27" customHeight="1" x14ac:dyDescent="0.3">
      <c r="D1009" s="23"/>
      <c r="O1009" s="98"/>
      <c r="U1009" s="34"/>
      <c r="V1009" s="34"/>
    </row>
    <row r="1010" spans="4:22" s="2" customFormat="1" ht="27" customHeight="1" x14ac:dyDescent="0.3">
      <c r="D1010" s="23"/>
      <c r="O1010" s="98"/>
      <c r="U1010" s="34"/>
      <c r="V1010" s="34"/>
    </row>
    <row r="1011" spans="4:22" s="2" customFormat="1" ht="27" customHeight="1" x14ac:dyDescent="0.3">
      <c r="D1011" s="23"/>
      <c r="O1011" s="98"/>
      <c r="U1011" s="34"/>
      <c r="V1011" s="34"/>
    </row>
    <row r="1012" spans="4:22" s="2" customFormat="1" ht="27" customHeight="1" x14ac:dyDescent="0.3">
      <c r="D1012" s="23"/>
      <c r="O1012" s="98"/>
      <c r="U1012" s="34"/>
      <c r="V1012" s="34"/>
    </row>
    <row r="1013" spans="4:22" s="2" customFormat="1" ht="27" customHeight="1" x14ac:dyDescent="0.3">
      <c r="D1013" s="23"/>
      <c r="O1013" s="98"/>
      <c r="U1013" s="34"/>
      <c r="V1013" s="34"/>
    </row>
    <row r="1014" spans="4:22" s="2" customFormat="1" ht="27" customHeight="1" x14ac:dyDescent="0.3">
      <c r="D1014" s="23"/>
      <c r="O1014" s="98"/>
      <c r="U1014" s="34"/>
      <c r="V1014" s="34"/>
    </row>
    <row r="1015" spans="4:22" s="2" customFormat="1" ht="27" customHeight="1" x14ac:dyDescent="0.3">
      <c r="D1015" s="23"/>
      <c r="O1015" s="98"/>
      <c r="U1015" s="34"/>
      <c r="V1015" s="34"/>
    </row>
    <row r="1016" spans="4:22" s="2" customFormat="1" ht="27" customHeight="1" x14ac:dyDescent="0.3">
      <c r="D1016" s="23"/>
      <c r="O1016" s="98"/>
      <c r="U1016" s="34"/>
      <c r="V1016" s="34"/>
    </row>
    <row r="1017" spans="4:22" s="2" customFormat="1" ht="27" customHeight="1" x14ac:dyDescent="0.3">
      <c r="D1017" s="23"/>
      <c r="O1017" s="98"/>
      <c r="U1017" s="34"/>
      <c r="V1017" s="34"/>
    </row>
    <row r="1018" spans="4:22" s="2" customFormat="1" ht="27" customHeight="1" x14ac:dyDescent="0.3">
      <c r="D1018" s="23"/>
      <c r="O1018" s="98"/>
      <c r="U1018" s="34"/>
      <c r="V1018" s="34"/>
    </row>
    <row r="1019" spans="4:22" s="2" customFormat="1" ht="27" customHeight="1" x14ac:dyDescent="0.3">
      <c r="D1019" s="23"/>
      <c r="O1019" s="98"/>
      <c r="U1019" s="34"/>
      <c r="V1019" s="34"/>
    </row>
    <row r="1020" spans="4:22" s="2" customFormat="1" ht="27" customHeight="1" x14ac:dyDescent="0.3">
      <c r="D1020" s="23"/>
      <c r="O1020" s="98"/>
      <c r="U1020" s="34"/>
      <c r="V1020" s="34"/>
    </row>
    <row r="1021" spans="4:22" s="2" customFormat="1" ht="27" customHeight="1" x14ac:dyDescent="0.3">
      <c r="D1021" s="23"/>
      <c r="O1021" s="98"/>
      <c r="U1021" s="34"/>
      <c r="V1021" s="34"/>
    </row>
    <row r="1022" spans="4:22" s="2" customFormat="1" ht="27" customHeight="1" x14ac:dyDescent="0.3">
      <c r="D1022" s="23"/>
      <c r="O1022" s="98"/>
      <c r="U1022" s="34"/>
      <c r="V1022" s="34"/>
    </row>
    <row r="1023" spans="4:22" s="2" customFormat="1" ht="27" customHeight="1" x14ac:dyDescent="0.3">
      <c r="D1023" s="23"/>
      <c r="O1023" s="98"/>
      <c r="U1023" s="34"/>
      <c r="V1023" s="34"/>
    </row>
    <row r="1024" spans="4:22" s="2" customFormat="1" ht="27" customHeight="1" x14ac:dyDescent="0.3">
      <c r="D1024" s="23"/>
      <c r="O1024" s="98"/>
      <c r="U1024" s="34"/>
      <c r="V1024" s="34"/>
    </row>
    <row r="1025" spans="4:22" s="2" customFormat="1" ht="27" customHeight="1" x14ac:dyDescent="0.3">
      <c r="D1025" s="23"/>
      <c r="O1025" s="98"/>
      <c r="U1025" s="34"/>
      <c r="V1025" s="34"/>
    </row>
    <row r="1026" spans="4:22" s="2" customFormat="1" ht="27" customHeight="1" x14ac:dyDescent="0.3">
      <c r="D1026" s="23"/>
      <c r="O1026" s="98"/>
      <c r="U1026" s="34"/>
      <c r="V1026" s="34"/>
    </row>
    <row r="1027" spans="4:22" s="2" customFormat="1" ht="27" customHeight="1" x14ac:dyDescent="0.3">
      <c r="D1027" s="23"/>
      <c r="O1027" s="98"/>
      <c r="U1027" s="34"/>
      <c r="V1027" s="34"/>
    </row>
    <row r="1028" spans="4:22" s="2" customFormat="1" ht="27" customHeight="1" x14ac:dyDescent="0.3">
      <c r="D1028" s="23"/>
      <c r="O1028" s="98"/>
      <c r="U1028" s="34"/>
      <c r="V1028" s="34"/>
    </row>
    <row r="1029" spans="4:22" s="2" customFormat="1" ht="27" customHeight="1" x14ac:dyDescent="0.3">
      <c r="D1029" s="23"/>
      <c r="O1029" s="98"/>
      <c r="U1029" s="34"/>
      <c r="V1029" s="34"/>
    </row>
    <row r="1030" spans="4:22" s="2" customFormat="1" ht="27" customHeight="1" x14ac:dyDescent="0.3">
      <c r="D1030" s="23"/>
      <c r="O1030" s="98"/>
      <c r="U1030" s="34"/>
      <c r="V1030" s="34"/>
    </row>
    <row r="1031" spans="4:22" s="2" customFormat="1" ht="27" customHeight="1" x14ac:dyDescent="0.3">
      <c r="D1031" s="23"/>
      <c r="O1031" s="98"/>
      <c r="U1031" s="34"/>
      <c r="V1031" s="34"/>
    </row>
    <row r="1032" spans="4:22" s="2" customFormat="1" ht="27" customHeight="1" x14ac:dyDescent="0.3">
      <c r="D1032" s="23"/>
      <c r="O1032" s="98"/>
      <c r="U1032" s="34"/>
      <c r="V1032" s="34"/>
    </row>
    <row r="1033" spans="4:22" s="2" customFormat="1" ht="27" customHeight="1" x14ac:dyDescent="0.3">
      <c r="D1033" s="23"/>
      <c r="O1033" s="98"/>
      <c r="U1033" s="34"/>
      <c r="V1033" s="34"/>
    </row>
    <row r="1034" spans="4:22" s="2" customFormat="1" ht="27" customHeight="1" x14ac:dyDescent="0.3">
      <c r="D1034" s="23"/>
      <c r="O1034" s="98"/>
      <c r="U1034" s="34"/>
      <c r="V1034" s="34"/>
    </row>
    <row r="1035" spans="4:22" s="2" customFormat="1" ht="27" customHeight="1" x14ac:dyDescent="0.3">
      <c r="D1035" s="23"/>
      <c r="O1035" s="98"/>
      <c r="U1035" s="34"/>
      <c r="V1035" s="34"/>
    </row>
    <row r="1036" spans="4:22" s="2" customFormat="1" ht="27" customHeight="1" x14ac:dyDescent="0.3">
      <c r="D1036" s="23"/>
      <c r="O1036" s="98"/>
      <c r="U1036" s="34"/>
      <c r="V1036" s="34"/>
    </row>
    <row r="1037" spans="4:22" s="2" customFormat="1" ht="27" customHeight="1" x14ac:dyDescent="0.3">
      <c r="D1037" s="23"/>
      <c r="O1037" s="98"/>
      <c r="U1037" s="34"/>
      <c r="V1037" s="34"/>
    </row>
    <row r="1038" spans="4:22" s="2" customFormat="1" ht="27" customHeight="1" x14ac:dyDescent="0.3">
      <c r="D1038" s="23"/>
      <c r="O1038" s="98"/>
      <c r="U1038" s="34"/>
      <c r="V1038" s="34"/>
    </row>
    <row r="1039" spans="4:22" s="2" customFormat="1" ht="27" customHeight="1" x14ac:dyDescent="0.3">
      <c r="D1039" s="23"/>
      <c r="O1039" s="98"/>
      <c r="U1039" s="34"/>
      <c r="V1039" s="34"/>
    </row>
    <row r="1040" spans="4:22" s="2" customFormat="1" ht="27" customHeight="1" x14ac:dyDescent="0.3">
      <c r="D1040" s="23"/>
      <c r="O1040" s="98"/>
      <c r="U1040" s="34"/>
      <c r="V1040" s="34"/>
    </row>
    <row r="1041" spans="4:22" s="2" customFormat="1" ht="27" customHeight="1" x14ac:dyDescent="0.3">
      <c r="D1041" s="23"/>
      <c r="O1041" s="98"/>
      <c r="U1041" s="34"/>
      <c r="V1041" s="34"/>
    </row>
    <row r="1042" spans="4:22" s="2" customFormat="1" ht="27" customHeight="1" x14ac:dyDescent="0.3">
      <c r="D1042" s="23"/>
      <c r="O1042" s="98"/>
      <c r="U1042" s="34"/>
      <c r="V1042" s="34"/>
    </row>
    <row r="1043" spans="4:22" s="2" customFormat="1" ht="27" customHeight="1" x14ac:dyDescent="0.3">
      <c r="D1043" s="23"/>
      <c r="O1043" s="98"/>
      <c r="U1043" s="34"/>
      <c r="V1043" s="34"/>
    </row>
    <row r="1044" spans="4:22" s="2" customFormat="1" ht="27" customHeight="1" x14ac:dyDescent="0.3">
      <c r="D1044" s="23"/>
      <c r="O1044" s="98"/>
      <c r="U1044" s="34"/>
      <c r="V1044" s="34"/>
    </row>
    <row r="1045" spans="4:22" s="2" customFormat="1" ht="27" customHeight="1" x14ac:dyDescent="0.3">
      <c r="D1045" s="23"/>
      <c r="O1045" s="98"/>
      <c r="U1045" s="34"/>
      <c r="V1045" s="34"/>
    </row>
    <row r="1046" spans="4:22" s="2" customFormat="1" ht="27" customHeight="1" x14ac:dyDescent="0.3">
      <c r="D1046" s="23"/>
      <c r="O1046" s="98"/>
      <c r="U1046" s="34"/>
      <c r="V1046" s="34"/>
    </row>
    <row r="1047" spans="4:22" s="2" customFormat="1" ht="27" customHeight="1" x14ac:dyDescent="0.3">
      <c r="D1047" s="23"/>
      <c r="O1047" s="98"/>
      <c r="U1047" s="34"/>
      <c r="V1047" s="34"/>
    </row>
    <row r="1048" spans="4:22" s="2" customFormat="1" ht="27" customHeight="1" x14ac:dyDescent="0.3">
      <c r="D1048" s="23"/>
      <c r="O1048" s="98"/>
      <c r="U1048" s="34"/>
      <c r="V1048" s="34"/>
    </row>
    <row r="1049" spans="4:22" s="2" customFormat="1" ht="27" customHeight="1" x14ac:dyDescent="0.3">
      <c r="D1049" s="23"/>
      <c r="O1049" s="98"/>
      <c r="U1049" s="34"/>
      <c r="V1049" s="34"/>
    </row>
    <row r="1050" spans="4:22" s="2" customFormat="1" ht="27" customHeight="1" x14ac:dyDescent="0.3">
      <c r="D1050" s="23"/>
      <c r="O1050" s="98"/>
      <c r="U1050" s="34"/>
      <c r="V1050" s="34"/>
    </row>
    <row r="1051" spans="4:22" s="2" customFormat="1" ht="27" customHeight="1" x14ac:dyDescent="0.3">
      <c r="D1051" s="23"/>
      <c r="O1051" s="98"/>
      <c r="U1051" s="34"/>
      <c r="V1051" s="34"/>
    </row>
    <row r="1052" spans="4:22" s="2" customFormat="1" ht="27" customHeight="1" x14ac:dyDescent="0.3">
      <c r="D1052" s="23"/>
      <c r="O1052" s="98"/>
      <c r="U1052" s="34"/>
      <c r="V1052" s="34"/>
    </row>
    <row r="1053" spans="4:22" s="2" customFormat="1" ht="27" customHeight="1" x14ac:dyDescent="0.3">
      <c r="D1053" s="23"/>
      <c r="O1053" s="98"/>
      <c r="U1053" s="34"/>
      <c r="V1053" s="34"/>
    </row>
    <row r="1054" spans="4:22" s="2" customFormat="1" ht="27" customHeight="1" x14ac:dyDescent="0.3">
      <c r="D1054" s="23"/>
      <c r="O1054" s="98"/>
      <c r="U1054" s="34"/>
      <c r="V1054" s="34"/>
    </row>
    <row r="1055" spans="4:22" s="2" customFormat="1" ht="27" customHeight="1" x14ac:dyDescent="0.3">
      <c r="D1055" s="23"/>
      <c r="O1055" s="98"/>
      <c r="U1055" s="34"/>
      <c r="V1055" s="34"/>
    </row>
    <row r="1056" spans="4:22" s="2" customFormat="1" ht="27" customHeight="1" x14ac:dyDescent="0.3">
      <c r="D1056" s="23"/>
      <c r="O1056" s="98"/>
      <c r="U1056" s="34"/>
      <c r="V1056" s="34"/>
    </row>
    <row r="1057" spans="4:22" s="2" customFormat="1" ht="27" customHeight="1" x14ac:dyDescent="0.3">
      <c r="D1057" s="23"/>
      <c r="O1057" s="98"/>
      <c r="U1057" s="34"/>
      <c r="V1057" s="34"/>
    </row>
    <row r="1058" spans="4:22" s="2" customFormat="1" ht="27" customHeight="1" x14ac:dyDescent="0.3">
      <c r="D1058" s="23"/>
      <c r="O1058" s="98"/>
      <c r="U1058" s="34"/>
      <c r="V1058" s="34"/>
    </row>
    <row r="1059" spans="4:22" s="2" customFormat="1" ht="27" customHeight="1" x14ac:dyDescent="0.3">
      <c r="D1059" s="23"/>
      <c r="O1059" s="98"/>
      <c r="U1059" s="34"/>
      <c r="V1059" s="34"/>
    </row>
    <row r="1060" spans="4:22" s="2" customFormat="1" ht="27" customHeight="1" x14ac:dyDescent="0.3">
      <c r="D1060" s="23"/>
      <c r="O1060" s="98"/>
      <c r="U1060" s="34"/>
      <c r="V1060" s="34"/>
    </row>
    <row r="1061" spans="4:22" s="2" customFormat="1" ht="27" customHeight="1" x14ac:dyDescent="0.3">
      <c r="D1061" s="23"/>
      <c r="O1061" s="98"/>
      <c r="U1061" s="34"/>
      <c r="V1061" s="34"/>
    </row>
    <row r="1062" spans="4:22" s="2" customFormat="1" ht="27" customHeight="1" x14ac:dyDescent="0.3">
      <c r="D1062" s="23"/>
      <c r="O1062" s="98"/>
      <c r="U1062" s="34"/>
      <c r="V1062" s="34"/>
    </row>
    <row r="1063" spans="4:22" s="2" customFormat="1" ht="27" customHeight="1" x14ac:dyDescent="0.3">
      <c r="D1063" s="23"/>
      <c r="O1063" s="98"/>
      <c r="U1063" s="34"/>
      <c r="V1063" s="34"/>
    </row>
    <row r="1064" spans="4:22" s="2" customFormat="1" ht="27" customHeight="1" x14ac:dyDescent="0.3">
      <c r="D1064" s="23"/>
      <c r="O1064" s="98"/>
      <c r="U1064" s="34"/>
      <c r="V1064" s="34"/>
    </row>
    <row r="1065" spans="4:22" s="2" customFormat="1" ht="27" customHeight="1" x14ac:dyDescent="0.3">
      <c r="D1065" s="23"/>
      <c r="O1065" s="98"/>
      <c r="U1065" s="34"/>
      <c r="V1065" s="34"/>
    </row>
    <row r="1066" spans="4:22" s="2" customFormat="1" ht="27" customHeight="1" x14ac:dyDescent="0.3">
      <c r="D1066" s="23"/>
      <c r="O1066" s="98"/>
      <c r="U1066" s="34"/>
      <c r="V1066" s="34"/>
    </row>
    <row r="1067" spans="4:22" s="2" customFormat="1" ht="27" customHeight="1" x14ac:dyDescent="0.3">
      <c r="D1067" s="23"/>
      <c r="O1067" s="98"/>
      <c r="U1067" s="34"/>
      <c r="V1067" s="34"/>
    </row>
    <row r="1068" spans="4:22" s="2" customFormat="1" ht="27" customHeight="1" x14ac:dyDescent="0.3">
      <c r="D1068" s="23"/>
      <c r="O1068" s="98"/>
      <c r="U1068" s="34"/>
      <c r="V1068" s="34"/>
    </row>
    <row r="1069" spans="4:22" s="2" customFormat="1" ht="27" customHeight="1" x14ac:dyDescent="0.3">
      <c r="D1069" s="23"/>
      <c r="O1069" s="98"/>
      <c r="U1069" s="34"/>
      <c r="V1069" s="34"/>
    </row>
    <row r="1070" spans="4:22" s="2" customFormat="1" ht="27" customHeight="1" x14ac:dyDescent="0.3">
      <c r="D1070" s="23"/>
      <c r="O1070" s="98"/>
      <c r="U1070" s="34"/>
      <c r="V1070" s="34"/>
    </row>
    <row r="1071" spans="4:22" s="2" customFormat="1" ht="27" customHeight="1" x14ac:dyDescent="0.3">
      <c r="D1071" s="23"/>
      <c r="O1071" s="98"/>
      <c r="U1071" s="34"/>
      <c r="V1071" s="34"/>
    </row>
    <row r="1072" spans="4:22" s="2" customFormat="1" ht="27" customHeight="1" x14ac:dyDescent="0.3">
      <c r="D1072" s="23"/>
      <c r="O1072" s="98"/>
      <c r="U1072" s="34"/>
      <c r="V1072" s="34"/>
    </row>
    <row r="1073" spans="4:22" s="2" customFormat="1" ht="27" customHeight="1" x14ac:dyDescent="0.3">
      <c r="D1073" s="23"/>
      <c r="O1073" s="98"/>
      <c r="U1073" s="34"/>
      <c r="V1073" s="34"/>
    </row>
    <row r="1074" spans="4:22" s="2" customFormat="1" ht="27" customHeight="1" x14ac:dyDescent="0.3">
      <c r="D1074" s="23"/>
      <c r="O1074" s="98"/>
      <c r="U1074" s="34"/>
      <c r="V1074" s="34"/>
    </row>
    <row r="1075" spans="4:22" s="2" customFormat="1" ht="27" customHeight="1" x14ac:dyDescent="0.3">
      <c r="D1075" s="23"/>
      <c r="O1075" s="98"/>
      <c r="U1075" s="34"/>
      <c r="V1075" s="34"/>
    </row>
    <row r="1076" spans="4:22" s="2" customFormat="1" ht="27" customHeight="1" x14ac:dyDescent="0.3">
      <c r="D1076" s="23"/>
      <c r="O1076" s="98"/>
      <c r="U1076" s="34"/>
      <c r="V1076" s="34"/>
    </row>
    <row r="1077" spans="4:22" s="2" customFormat="1" ht="27" customHeight="1" x14ac:dyDescent="0.3">
      <c r="D1077" s="23"/>
      <c r="O1077" s="98"/>
      <c r="U1077" s="34"/>
      <c r="V1077" s="34"/>
    </row>
    <row r="1078" spans="4:22" s="2" customFormat="1" ht="27" customHeight="1" x14ac:dyDescent="0.3">
      <c r="D1078" s="23"/>
      <c r="O1078" s="98"/>
      <c r="U1078" s="34"/>
      <c r="V1078" s="34"/>
    </row>
    <row r="1079" spans="4:22" s="2" customFormat="1" ht="27" customHeight="1" x14ac:dyDescent="0.3">
      <c r="D1079" s="23"/>
      <c r="O1079" s="98"/>
      <c r="U1079" s="34"/>
      <c r="V1079" s="34"/>
    </row>
    <row r="1080" spans="4:22" s="2" customFormat="1" ht="27" customHeight="1" x14ac:dyDescent="0.3">
      <c r="D1080" s="23"/>
      <c r="O1080" s="98"/>
      <c r="U1080" s="34"/>
      <c r="V1080" s="34"/>
    </row>
    <row r="1081" spans="4:22" s="2" customFormat="1" ht="27" customHeight="1" x14ac:dyDescent="0.3">
      <c r="D1081" s="23"/>
      <c r="O1081" s="98"/>
      <c r="U1081" s="34"/>
      <c r="V1081" s="34"/>
    </row>
    <row r="1082" spans="4:22" s="2" customFormat="1" ht="27" customHeight="1" x14ac:dyDescent="0.3">
      <c r="D1082" s="23"/>
      <c r="O1082" s="98"/>
      <c r="U1082" s="34"/>
      <c r="V1082" s="34"/>
    </row>
    <row r="1083" spans="4:22" s="2" customFormat="1" ht="27" customHeight="1" x14ac:dyDescent="0.3">
      <c r="D1083" s="23"/>
      <c r="O1083" s="98"/>
      <c r="U1083" s="34"/>
      <c r="V1083" s="34"/>
    </row>
    <row r="1084" spans="4:22" s="2" customFormat="1" ht="27" customHeight="1" x14ac:dyDescent="0.3">
      <c r="D1084" s="23"/>
      <c r="O1084" s="98"/>
      <c r="U1084" s="34"/>
      <c r="V1084" s="34"/>
    </row>
    <row r="1085" spans="4:22" s="2" customFormat="1" ht="27" customHeight="1" x14ac:dyDescent="0.3">
      <c r="D1085" s="23"/>
      <c r="O1085" s="98"/>
      <c r="U1085" s="34"/>
      <c r="V1085" s="34"/>
    </row>
    <row r="1086" spans="4:22" s="2" customFormat="1" ht="27" customHeight="1" x14ac:dyDescent="0.3">
      <c r="D1086" s="23"/>
      <c r="O1086" s="98"/>
      <c r="U1086" s="34"/>
      <c r="V1086" s="34"/>
    </row>
    <row r="1087" spans="4:22" s="2" customFormat="1" ht="27" customHeight="1" x14ac:dyDescent="0.3">
      <c r="D1087" s="23"/>
      <c r="O1087" s="98"/>
      <c r="U1087" s="34"/>
      <c r="V1087" s="34"/>
    </row>
    <row r="1088" spans="4:22" s="2" customFormat="1" ht="27" customHeight="1" x14ac:dyDescent="0.3">
      <c r="D1088" s="23"/>
      <c r="O1088" s="98"/>
      <c r="U1088" s="34"/>
      <c r="V1088" s="34"/>
    </row>
    <row r="1089" spans="4:22" s="2" customFormat="1" ht="27" customHeight="1" x14ac:dyDescent="0.3">
      <c r="D1089" s="23"/>
      <c r="O1089" s="98"/>
      <c r="U1089" s="34"/>
      <c r="V1089" s="34"/>
    </row>
    <row r="1090" spans="4:22" s="2" customFormat="1" ht="27" customHeight="1" x14ac:dyDescent="0.3">
      <c r="D1090" s="23"/>
      <c r="O1090" s="98"/>
      <c r="U1090" s="34"/>
      <c r="V1090" s="34"/>
    </row>
    <row r="1091" spans="4:22" s="2" customFormat="1" ht="27" customHeight="1" x14ac:dyDescent="0.3">
      <c r="D1091" s="23"/>
      <c r="O1091" s="98"/>
      <c r="U1091" s="34"/>
      <c r="V1091" s="34"/>
    </row>
    <row r="1092" spans="4:22" s="2" customFormat="1" ht="27" customHeight="1" x14ac:dyDescent="0.3">
      <c r="D1092" s="23"/>
      <c r="O1092" s="98"/>
      <c r="U1092" s="34"/>
      <c r="V1092" s="34"/>
    </row>
    <row r="1093" spans="4:22" s="2" customFormat="1" ht="27" customHeight="1" x14ac:dyDescent="0.3">
      <c r="D1093" s="23"/>
      <c r="O1093" s="98"/>
      <c r="U1093" s="34"/>
      <c r="V1093" s="34"/>
    </row>
    <row r="1094" spans="4:22" s="2" customFormat="1" ht="27" customHeight="1" x14ac:dyDescent="0.3">
      <c r="D1094" s="23"/>
      <c r="O1094" s="98"/>
      <c r="U1094" s="34"/>
      <c r="V1094" s="34"/>
    </row>
    <row r="1095" spans="4:22" s="2" customFormat="1" ht="27" customHeight="1" x14ac:dyDescent="0.3">
      <c r="D1095" s="23"/>
      <c r="O1095" s="98"/>
      <c r="U1095" s="34"/>
      <c r="V1095" s="34"/>
    </row>
    <row r="1096" spans="4:22" s="2" customFormat="1" ht="27" customHeight="1" x14ac:dyDescent="0.3">
      <c r="D1096" s="23"/>
      <c r="O1096" s="98"/>
      <c r="U1096" s="34"/>
      <c r="V1096" s="34"/>
    </row>
    <row r="1097" spans="4:22" s="2" customFormat="1" ht="27" customHeight="1" x14ac:dyDescent="0.3">
      <c r="D1097" s="23"/>
      <c r="O1097" s="98"/>
      <c r="U1097" s="34"/>
      <c r="V1097" s="34"/>
    </row>
    <row r="1098" spans="4:22" s="2" customFormat="1" ht="27" customHeight="1" x14ac:dyDescent="0.3">
      <c r="D1098" s="23"/>
      <c r="O1098" s="98"/>
      <c r="U1098" s="34"/>
      <c r="V1098" s="34"/>
    </row>
    <row r="1099" spans="4:22" s="2" customFormat="1" ht="27" customHeight="1" x14ac:dyDescent="0.3">
      <c r="D1099" s="23"/>
      <c r="O1099" s="98"/>
      <c r="U1099" s="34"/>
      <c r="V1099" s="34"/>
    </row>
    <row r="1100" spans="4:22" s="2" customFormat="1" ht="27" customHeight="1" x14ac:dyDescent="0.3">
      <c r="D1100" s="23"/>
      <c r="O1100" s="98"/>
      <c r="U1100" s="34"/>
      <c r="V1100" s="34"/>
    </row>
    <row r="1101" spans="4:22" s="2" customFormat="1" ht="27" customHeight="1" x14ac:dyDescent="0.3">
      <c r="D1101" s="23"/>
      <c r="O1101" s="98"/>
      <c r="U1101" s="34"/>
      <c r="V1101" s="34"/>
    </row>
    <row r="1102" spans="4:22" s="2" customFormat="1" ht="27" customHeight="1" x14ac:dyDescent="0.3">
      <c r="D1102" s="23"/>
      <c r="O1102" s="98"/>
      <c r="U1102" s="34"/>
      <c r="V1102" s="34"/>
    </row>
    <row r="1103" spans="4:22" s="2" customFormat="1" ht="27" customHeight="1" x14ac:dyDescent="0.3">
      <c r="D1103" s="23"/>
      <c r="O1103" s="98"/>
      <c r="U1103" s="34"/>
      <c r="V1103" s="34"/>
    </row>
    <row r="1104" spans="4:22" s="2" customFormat="1" ht="27" customHeight="1" x14ac:dyDescent="0.3">
      <c r="D1104" s="23"/>
      <c r="O1104" s="98"/>
      <c r="U1104" s="34"/>
      <c r="V1104" s="34"/>
    </row>
    <row r="1105" spans="4:22" s="2" customFormat="1" ht="27" customHeight="1" x14ac:dyDescent="0.3">
      <c r="D1105" s="23"/>
      <c r="O1105" s="98"/>
      <c r="U1105" s="34"/>
      <c r="V1105" s="34"/>
    </row>
    <row r="1106" spans="4:22" s="2" customFormat="1" ht="27" customHeight="1" x14ac:dyDescent="0.3">
      <c r="D1106" s="23"/>
      <c r="O1106" s="98"/>
      <c r="U1106" s="34"/>
      <c r="V1106" s="34"/>
    </row>
    <row r="1107" spans="4:22" s="2" customFormat="1" ht="27" customHeight="1" x14ac:dyDescent="0.3">
      <c r="D1107" s="23"/>
      <c r="O1107" s="98"/>
      <c r="U1107" s="34"/>
      <c r="V1107" s="34"/>
    </row>
    <row r="1108" spans="4:22" s="2" customFormat="1" ht="27" customHeight="1" x14ac:dyDescent="0.3">
      <c r="D1108" s="23"/>
      <c r="O1108" s="98"/>
      <c r="U1108" s="34"/>
      <c r="V1108" s="34"/>
    </row>
    <row r="1109" spans="4:22" s="2" customFormat="1" ht="27" customHeight="1" x14ac:dyDescent="0.3">
      <c r="D1109" s="23"/>
      <c r="O1109" s="98"/>
      <c r="U1109" s="34"/>
      <c r="V1109" s="34"/>
    </row>
    <row r="1110" spans="4:22" s="2" customFormat="1" ht="27" customHeight="1" x14ac:dyDescent="0.3">
      <c r="D1110" s="23"/>
      <c r="O1110" s="98"/>
      <c r="U1110" s="34"/>
      <c r="V1110" s="34"/>
    </row>
    <row r="1111" spans="4:22" s="2" customFormat="1" ht="27" customHeight="1" x14ac:dyDescent="0.3">
      <c r="D1111" s="23"/>
      <c r="O1111" s="98"/>
      <c r="U1111" s="34"/>
      <c r="V1111" s="34"/>
    </row>
    <row r="1112" spans="4:22" s="2" customFormat="1" ht="27" customHeight="1" x14ac:dyDescent="0.3">
      <c r="D1112" s="23"/>
      <c r="O1112" s="98"/>
      <c r="U1112" s="34"/>
      <c r="V1112" s="34"/>
    </row>
    <row r="1113" spans="4:22" s="2" customFormat="1" ht="27" customHeight="1" x14ac:dyDescent="0.3">
      <c r="D1113" s="23"/>
      <c r="O1113" s="98"/>
      <c r="U1113" s="34"/>
      <c r="V1113" s="34"/>
    </row>
    <row r="1114" spans="4:22" s="2" customFormat="1" ht="27" customHeight="1" x14ac:dyDescent="0.3">
      <c r="D1114" s="23"/>
      <c r="O1114" s="98"/>
      <c r="U1114" s="34"/>
      <c r="V1114" s="34"/>
    </row>
    <row r="1115" spans="4:22" s="2" customFormat="1" ht="27" customHeight="1" x14ac:dyDescent="0.3">
      <c r="D1115" s="23"/>
      <c r="O1115" s="98"/>
      <c r="U1115" s="34"/>
      <c r="V1115" s="34"/>
    </row>
    <row r="1116" spans="4:22" s="2" customFormat="1" ht="27" customHeight="1" x14ac:dyDescent="0.3">
      <c r="D1116" s="23"/>
      <c r="O1116" s="98"/>
      <c r="U1116" s="34"/>
      <c r="V1116" s="34"/>
    </row>
    <row r="1117" spans="4:22" s="2" customFormat="1" ht="27" customHeight="1" x14ac:dyDescent="0.3">
      <c r="D1117" s="23"/>
      <c r="O1117" s="98"/>
      <c r="U1117" s="34"/>
      <c r="V1117" s="34"/>
    </row>
    <row r="1118" spans="4:22" s="2" customFormat="1" ht="27" customHeight="1" x14ac:dyDescent="0.3">
      <c r="D1118" s="23"/>
      <c r="O1118" s="98"/>
      <c r="U1118" s="34"/>
      <c r="V1118" s="34"/>
    </row>
    <row r="1119" spans="4:22" s="2" customFormat="1" ht="27" customHeight="1" x14ac:dyDescent="0.3">
      <c r="D1119" s="23"/>
      <c r="O1119" s="98"/>
      <c r="U1119" s="34"/>
      <c r="V1119" s="34"/>
    </row>
    <row r="1120" spans="4:22" s="2" customFormat="1" ht="27" customHeight="1" x14ac:dyDescent="0.3">
      <c r="D1120" s="23"/>
      <c r="O1120" s="98"/>
      <c r="U1120" s="34"/>
      <c r="V1120" s="34"/>
    </row>
    <row r="1121" spans="4:22" s="2" customFormat="1" ht="27" customHeight="1" x14ac:dyDescent="0.3">
      <c r="D1121" s="23"/>
      <c r="O1121" s="98"/>
      <c r="U1121" s="34"/>
      <c r="V1121" s="34"/>
    </row>
    <row r="1122" spans="4:22" s="2" customFormat="1" ht="27" customHeight="1" x14ac:dyDescent="0.3">
      <c r="D1122" s="23"/>
      <c r="O1122" s="98"/>
      <c r="U1122" s="34"/>
      <c r="V1122" s="34"/>
    </row>
    <row r="1123" spans="4:22" s="2" customFormat="1" ht="27" customHeight="1" x14ac:dyDescent="0.3">
      <c r="D1123" s="23"/>
      <c r="O1123" s="98"/>
      <c r="U1123" s="34"/>
      <c r="V1123" s="34"/>
    </row>
    <row r="1124" spans="4:22" s="2" customFormat="1" ht="27" customHeight="1" x14ac:dyDescent="0.3">
      <c r="D1124" s="23"/>
      <c r="O1124" s="98"/>
      <c r="U1124" s="34"/>
      <c r="V1124" s="34"/>
    </row>
    <row r="1125" spans="4:22" s="2" customFormat="1" ht="27" customHeight="1" x14ac:dyDescent="0.3">
      <c r="D1125" s="23"/>
      <c r="O1125" s="98"/>
      <c r="U1125" s="34"/>
      <c r="V1125" s="34"/>
    </row>
    <row r="1126" spans="4:22" s="2" customFormat="1" ht="27" customHeight="1" x14ac:dyDescent="0.3">
      <c r="D1126" s="23"/>
      <c r="O1126" s="98"/>
      <c r="U1126" s="34"/>
      <c r="V1126" s="34"/>
    </row>
    <row r="1127" spans="4:22" s="2" customFormat="1" ht="27" customHeight="1" x14ac:dyDescent="0.3">
      <c r="D1127" s="23"/>
      <c r="O1127" s="98"/>
      <c r="U1127" s="34"/>
      <c r="V1127" s="34"/>
    </row>
    <row r="1128" spans="4:22" s="2" customFormat="1" ht="27" customHeight="1" x14ac:dyDescent="0.3">
      <c r="D1128" s="23"/>
      <c r="O1128" s="98"/>
      <c r="U1128" s="34"/>
      <c r="V1128" s="34"/>
    </row>
    <row r="1129" spans="4:22" s="2" customFormat="1" ht="27" customHeight="1" x14ac:dyDescent="0.3">
      <c r="D1129" s="23"/>
      <c r="O1129" s="98"/>
      <c r="U1129" s="34"/>
      <c r="V1129" s="34"/>
    </row>
    <row r="1130" spans="4:22" s="2" customFormat="1" ht="27" customHeight="1" x14ac:dyDescent="0.3">
      <c r="D1130" s="23"/>
      <c r="O1130" s="98"/>
      <c r="U1130" s="34"/>
      <c r="V1130" s="34"/>
    </row>
    <row r="1131" spans="4:22" s="2" customFormat="1" ht="27" customHeight="1" x14ac:dyDescent="0.3">
      <c r="D1131" s="23"/>
      <c r="O1131" s="98"/>
      <c r="U1131" s="34"/>
      <c r="V1131" s="34"/>
    </row>
    <row r="1132" spans="4:22" s="2" customFormat="1" ht="27" customHeight="1" x14ac:dyDescent="0.3">
      <c r="D1132" s="23"/>
      <c r="O1132" s="98"/>
      <c r="U1132" s="34"/>
      <c r="V1132" s="34"/>
    </row>
    <row r="1133" spans="4:22" s="2" customFormat="1" ht="27" customHeight="1" x14ac:dyDescent="0.3">
      <c r="D1133" s="23"/>
      <c r="O1133" s="98"/>
      <c r="U1133" s="34"/>
      <c r="V1133" s="34"/>
    </row>
    <row r="1134" spans="4:22" s="2" customFormat="1" ht="27" customHeight="1" x14ac:dyDescent="0.3">
      <c r="D1134" s="23"/>
      <c r="O1134" s="98"/>
      <c r="U1134" s="34"/>
      <c r="V1134" s="34"/>
    </row>
    <row r="1135" spans="4:22" s="2" customFormat="1" ht="27" customHeight="1" x14ac:dyDescent="0.3">
      <c r="D1135" s="23"/>
      <c r="O1135" s="98"/>
      <c r="U1135" s="34"/>
      <c r="V1135" s="34"/>
    </row>
    <row r="1136" spans="4:22" s="2" customFormat="1" ht="27" customHeight="1" x14ac:dyDescent="0.3">
      <c r="D1136" s="23"/>
      <c r="O1136" s="98"/>
      <c r="U1136" s="34"/>
      <c r="V1136" s="34"/>
    </row>
    <row r="1137" spans="4:22" s="2" customFormat="1" ht="27" customHeight="1" x14ac:dyDescent="0.3">
      <c r="D1137" s="23"/>
      <c r="O1137" s="98"/>
      <c r="U1137" s="34"/>
      <c r="V1137" s="34"/>
    </row>
    <row r="1138" spans="4:22" s="2" customFormat="1" ht="27" customHeight="1" x14ac:dyDescent="0.3">
      <c r="D1138" s="23"/>
      <c r="O1138" s="98"/>
      <c r="U1138" s="34"/>
      <c r="V1138" s="34"/>
    </row>
    <row r="1139" spans="4:22" s="2" customFormat="1" ht="27" customHeight="1" x14ac:dyDescent="0.3">
      <c r="D1139" s="23"/>
      <c r="O1139" s="98"/>
      <c r="U1139" s="34"/>
      <c r="V1139" s="34"/>
    </row>
    <row r="1140" spans="4:22" s="2" customFormat="1" ht="27" customHeight="1" x14ac:dyDescent="0.3">
      <c r="D1140" s="23"/>
      <c r="O1140" s="98"/>
      <c r="U1140" s="34"/>
      <c r="V1140" s="34"/>
    </row>
    <row r="1141" spans="4:22" s="2" customFormat="1" ht="27" customHeight="1" x14ac:dyDescent="0.3">
      <c r="D1141" s="23"/>
      <c r="O1141" s="98"/>
      <c r="U1141" s="34"/>
      <c r="V1141" s="34"/>
    </row>
    <row r="1142" spans="4:22" s="2" customFormat="1" ht="27" customHeight="1" x14ac:dyDescent="0.3">
      <c r="D1142" s="23"/>
      <c r="O1142" s="98"/>
      <c r="U1142" s="34"/>
      <c r="V1142" s="34"/>
    </row>
    <row r="1143" spans="4:22" s="2" customFormat="1" ht="27" customHeight="1" x14ac:dyDescent="0.3">
      <c r="D1143" s="23"/>
      <c r="O1143" s="98"/>
      <c r="U1143" s="34"/>
      <c r="V1143" s="34"/>
    </row>
    <row r="1144" spans="4:22" s="2" customFormat="1" ht="27" customHeight="1" x14ac:dyDescent="0.3">
      <c r="D1144" s="23"/>
      <c r="O1144" s="98"/>
      <c r="U1144" s="34"/>
      <c r="V1144" s="34"/>
    </row>
    <row r="1145" spans="4:22" s="2" customFormat="1" ht="27" customHeight="1" x14ac:dyDescent="0.3">
      <c r="D1145" s="23"/>
      <c r="O1145" s="98"/>
      <c r="U1145" s="34"/>
      <c r="V1145" s="34"/>
    </row>
    <row r="1146" spans="4:22" s="2" customFormat="1" ht="27" customHeight="1" x14ac:dyDescent="0.3">
      <c r="D1146" s="23"/>
      <c r="O1146" s="98"/>
      <c r="U1146" s="34"/>
      <c r="V1146" s="34"/>
    </row>
    <row r="1147" spans="4:22" s="2" customFormat="1" ht="27" customHeight="1" x14ac:dyDescent="0.3">
      <c r="D1147" s="23"/>
      <c r="O1147" s="98"/>
      <c r="U1147" s="34"/>
      <c r="V1147" s="34"/>
    </row>
    <row r="1148" spans="4:22" s="2" customFormat="1" ht="27" customHeight="1" x14ac:dyDescent="0.3">
      <c r="D1148" s="23"/>
      <c r="O1148" s="98"/>
      <c r="U1148" s="34"/>
      <c r="V1148" s="34"/>
    </row>
    <row r="1149" spans="4:22" s="2" customFormat="1" ht="27" customHeight="1" x14ac:dyDescent="0.3">
      <c r="D1149" s="23"/>
      <c r="O1149" s="98"/>
      <c r="U1149" s="34"/>
      <c r="V1149" s="34"/>
    </row>
    <row r="1150" spans="4:22" s="2" customFormat="1" ht="27" customHeight="1" x14ac:dyDescent="0.3">
      <c r="D1150" s="23"/>
      <c r="O1150" s="98"/>
      <c r="U1150" s="34"/>
      <c r="V1150" s="34"/>
    </row>
    <row r="1151" spans="4:22" s="2" customFormat="1" ht="27" customHeight="1" x14ac:dyDescent="0.3">
      <c r="D1151" s="23"/>
      <c r="O1151" s="98"/>
      <c r="U1151" s="34"/>
      <c r="V1151" s="34"/>
    </row>
    <row r="1152" spans="4:22" s="2" customFormat="1" ht="27" customHeight="1" x14ac:dyDescent="0.3">
      <c r="D1152" s="23"/>
      <c r="O1152" s="98"/>
      <c r="U1152" s="34"/>
      <c r="V1152" s="34"/>
    </row>
    <row r="1153" spans="4:22" s="2" customFormat="1" ht="27" customHeight="1" x14ac:dyDescent="0.3">
      <c r="D1153" s="23"/>
      <c r="O1153" s="98"/>
      <c r="U1153" s="34"/>
      <c r="V1153" s="34"/>
    </row>
    <row r="1154" spans="4:22" s="2" customFormat="1" ht="27" customHeight="1" x14ac:dyDescent="0.3">
      <c r="D1154" s="23"/>
      <c r="O1154" s="98"/>
      <c r="U1154" s="34"/>
      <c r="V1154" s="34"/>
    </row>
    <row r="1155" spans="4:22" s="2" customFormat="1" ht="27" customHeight="1" x14ac:dyDescent="0.3">
      <c r="D1155" s="23"/>
      <c r="O1155" s="98"/>
      <c r="U1155" s="34"/>
      <c r="V1155" s="34"/>
    </row>
    <row r="1156" spans="4:22" s="2" customFormat="1" ht="27" customHeight="1" x14ac:dyDescent="0.3">
      <c r="D1156" s="23"/>
      <c r="O1156" s="98"/>
      <c r="U1156" s="34"/>
      <c r="V1156" s="34"/>
    </row>
    <row r="1157" spans="4:22" s="2" customFormat="1" ht="27" customHeight="1" x14ac:dyDescent="0.3">
      <c r="D1157" s="23"/>
      <c r="O1157" s="98"/>
      <c r="U1157" s="34"/>
      <c r="V1157" s="34"/>
    </row>
    <row r="1158" spans="4:22" s="2" customFormat="1" ht="27" customHeight="1" x14ac:dyDescent="0.3">
      <c r="D1158" s="23"/>
      <c r="O1158" s="98"/>
      <c r="U1158" s="34"/>
      <c r="V1158" s="34"/>
    </row>
    <row r="1159" spans="4:22" s="2" customFormat="1" ht="27" customHeight="1" x14ac:dyDescent="0.3">
      <c r="D1159" s="23"/>
      <c r="O1159" s="98"/>
      <c r="U1159" s="34"/>
      <c r="V1159" s="34"/>
    </row>
    <row r="1160" spans="4:22" s="2" customFormat="1" ht="27" customHeight="1" x14ac:dyDescent="0.3">
      <c r="D1160" s="23"/>
      <c r="O1160" s="98"/>
      <c r="U1160" s="34"/>
      <c r="V1160" s="34"/>
    </row>
    <row r="1161" spans="4:22" s="2" customFormat="1" ht="27" customHeight="1" x14ac:dyDescent="0.3">
      <c r="D1161" s="23"/>
      <c r="O1161" s="98"/>
      <c r="U1161" s="34"/>
      <c r="V1161" s="34"/>
    </row>
    <row r="1162" spans="4:22" s="2" customFormat="1" ht="27" customHeight="1" x14ac:dyDescent="0.3">
      <c r="D1162" s="23"/>
      <c r="O1162" s="98"/>
      <c r="U1162" s="34"/>
      <c r="V1162" s="34"/>
    </row>
    <row r="1163" spans="4:22" s="2" customFormat="1" ht="27" customHeight="1" x14ac:dyDescent="0.3">
      <c r="D1163" s="23"/>
      <c r="O1163" s="98"/>
      <c r="U1163" s="34"/>
      <c r="V1163" s="34"/>
    </row>
    <row r="1164" spans="4:22" s="2" customFormat="1" ht="27" customHeight="1" x14ac:dyDescent="0.3">
      <c r="D1164" s="23"/>
      <c r="O1164" s="98"/>
      <c r="U1164" s="34"/>
      <c r="V1164" s="34"/>
    </row>
    <row r="1165" spans="4:22" s="2" customFormat="1" ht="27" customHeight="1" x14ac:dyDescent="0.3">
      <c r="D1165" s="23"/>
      <c r="O1165" s="98"/>
      <c r="U1165" s="34"/>
      <c r="V1165" s="34"/>
    </row>
    <row r="1166" spans="4:22" s="2" customFormat="1" ht="27" customHeight="1" x14ac:dyDescent="0.3">
      <c r="D1166" s="23"/>
      <c r="O1166" s="98"/>
      <c r="U1166" s="34"/>
      <c r="V1166" s="34"/>
    </row>
    <row r="1167" spans="4:22" s="2" customFormat="1" ht="27" customHeight="1" x14ac:dyDescent="0.3">
      <c r="D1167" s="23"/>
      <c r="O1167" s="98"/>
      <c r="U1167" s="34"/>
      <c r="V1167" s="34"/>
    </row>
    <row r="1168" spans="4:22" s="2" customFormat="1" ht="27" customHeight="1" x14ac:dyDescent="0.3">
      <c r="D1168" s="23"/>
      <c r="O1168" s="98"/>
      <c r="U1168" s="34"/>
      <c r="V1168" s="34"/>
    </row>
    <row r="1169" spans="4:22" s="2" customFormat="1" ht="27" customHeight="1" x14ac:dyDescent="0.3">
      <c r="D1169" s="23"/>
      <c r="O1169" s="98"/>
      <c r="U1169" s="34"/>
      <c r="V1169" s="34"/>
    </row>
    <row r="1170" spans="4:22" s="2" customFormat="1" ht="27" customHeight="1" x14ac:dyDescent="0.3">
      <c r="D1170" s="23"/>
      <c r="O1170" s="98"/>
      <c r="U1170" s="34"/>
      <c r="V1170" s="34"/>
    </row>
    <row r="1171" spans="4:22" s="2" customFormat="1" ht="27" customHeight="1" x14ac:dyDescent="0.3">
      <c r="D1171" s="23"/>
      <c r="O1171" s="98"/>
      <c r="U1171" s="34"/>
      <c r="V1171" s="34"/>
    </row>
    <row r="1172" spans="4:22" s="2" customFormat="1" ht="27" customHeight="1" x14ac:dyDescent="0.3">
      <c r="D1172" s="23"/>
      <c r="O1172" s="98"/>
      <c r="U1172" s="34"/>
      <c r="V1172" s="34"/>
    </row>
    <row r="1173" spans="4:22" s="2" customFormat="1" ht="27" customHeight="1" x14ac:dyDescent="0.3">
      <c r="D1173" s="23"/>
      <c r="O1173" s="98"/>
      <c r="U1173" s="34"/>
      <c r="V1173" s="34"/>
    </row>
    <row r="1174" spans="4:22" s="2" customFormat="1" ht="27" customHeight="1" x14ac:dyDescent="0.3">
      <c r="D1174" s="23"/>
      <c r="O1174" s="98"/>
      <c r="U1174" s="34"/>
      <c r="V1174" s="34"/>
    </row>
    <row r="1175" spans="4:22" s="2" customFormat="1" ht="27" customHeight="1" x14ac:dyDescent="0.3">
      <c r="D1175" s="23"/>
      <c r="O1175" s="98"/>
      <c r="U1175" s="34"/>
      <c r="V1175" s="34"/>
    </row>
    <row r="1176" spans="4:22" s="2" customFormat="1" ht="27" customHeight="1" x14ac:dyDescent="0.3">
      <c r="D1176" s="23"/>
      <c r="O1176" s="98"/>
      <c r="U1176" s="34"/>
      <c r="V1176" s="34"/>
    </row>
    <row r="1177" spans="4:22" s="2" customFormat="1" ht="27" customHeight="1" x14ac:dyDescent="0.3">
      <c r="D1177" s="23"/>
      <c r="O1177" s="98"/>
      <c r="U1177" s="34"/>
      <c r="V1177" s="34"/>
    </row>
    <row r="1178" spans="4:22" s="2" customFormat="1" ht="27" customHeight="1" x14ac:dyDescent="0.3">
      <c r="D1178" s="23"/>
      <c r="O1178" s="98"/>
      <c r="U1178" s="34"/>
      <c r="V1178" s="34"/>
    </row>
    <row r="1179" spans="4:22" s="2" customFormat="1" ht="27" customHeight="1" x14ac:dyDescent="0.3">
      <c r="D1179" s="23"/>
      <c r="O1179" s="98"/>
      <c r="U1179" s="34"/>
      <c r="V1179" s="34"/>
    </row>
    <row r="1180" spans="4:22" s="2" customFormat="1" ht="27" customHeight="1" x14ac:dyDescent="0.3">
      <c r="D1180" s="23"/>
      <c r="O1180" s="98"/>
      <c r="U1180" s="34"/>
      <c r="V1180" s="34"/>
    </row>
    <row r="1181" spans="4:22" s="2" customFormat="1" ht="27" customHeight="1" x14ac:dyDescent="0.3">
      <c r="D1181" s="23"/>
      <c r="O1181" s="98"/>
      <c r="U1181" s="34"/>
      <c r="V1181" s="34"/>
    </row>
    <row r="1182" spans="4:22" s="2" customFormat="1" ht="27" customHeight="1" x14ac:dyDescent="0.3">
      <c r="D1182" s="23"/>
      <c r="O1182" s="98"/>
      <c r="U1182" s="34"/>
      <c r="V1182" s="34"/>
    </row>
    <row r="1183" spans="4:22" s="2" customFormat="1" ht="27" customHeight="1" x14ac:dyDescent="0.3">
      <c r="D1183" s="23"/>
      <c r="O1183" s="98"/>
      <c r="U1183" s="34"/>
      <c r="V1183" s="34"/>
    </row>
    <row r="1184" spans="4:22" s="2" customFormat="1" ht="27" customHeight="1" x14ac:dyDescent="0.3">
      <c r="D1184" s="23"/>
      <c r="O1184" s="98"/>
      <c r="U1184" s="34"/>
      <c r="V1184" s="34"/>
    </row>
    <row r="1185" spans="4:22" s="2" customFormat="1" ht="27" customHeight="1" x14ac:dyDescent="0.3">
      <c r="D1185" s="23"/>
      <c r="O1185" s="98"/>
      <c r="U1185" s="34"/>
      <c r="V1185" s="34"/>
    </row>
    <row r="1186" spans="4:22" s="2" customFormat="1" ht="27" customHeight="1" x14ac:dyDescent="0.3">
      <c r="D1186" s="23"/>
      <c r="O1186" s="98"/>
      <c r="U1186" s="34"/>
      <c r="V1186" s="34"/>
    </row>
    <row r="1187" spans="4:22" s="2" customFormat="1" ht="27" customHeight="1" x14ac:dyDescent="0.3">
      <c r="D1187" s="23"/>
      <c r="O1187" s="98"/>
      <c r="U1187" s="34"/>
      <c r="V1187" s="34"/>
    </row>
    <row r="1188" spans="4:22" s="2" customFormat="1" ht="27" customHeight="1" x14ac:dyDescent="0.3">
      <c r="D1188" s="23"/>
      <c r="O1188" s="98"/>
      <c r="U1188" s="34"/>
      <c r="V1188" s="34"/>
    </row>
    <row r="1189" spans="4:22" s="2" customFormat="1" ht="27" customHeight="1" x14ac:dyDescent="0.3">
      <c r="D1189" s="23"/>
      <c r="O1189" s="98"/>
      <c r="U1189" s="34"/>
      <c r="V1189" s="34"/>
    </row>
    <row r="1190" spans="4:22" s="2" customFormat="1" ht="27" customHeight="1" x14ac:dyDescent="0.3">
      <c r="D1190" s="23"/>
      <c r="O1190" s="98"/>
      <c r="U1190" s="34"/>
      <c r="V1190" s="34"/>
    </row>
    <row r="1191" spans="4:22" s="2" customFormat="1" ht="27" customHeight="1" x14ac:dyDescent="0.3">
      <c r="D1191" s="23"/>
      <c r="O1191" s="98"/>
      <c r="U1191" s="34"/>
      <c r="V1191" s="34"/>
    </row>
    <row r="1192" spans="4:22" s="2" customFormat="1" ht="27" customHeight="1" x14ac:dyDescent="0.3">
      <c r="D1192" s="23"/>
      <c r="O1192" s="98"/>
      <c r="U1192" s="34"/>
      <c r="V1192" s="34"/>
    </row>
    <row r="1193" spans="4:22" s="2" customFormat="1" ht="27" customHeight="1" x14ac:dyDescent="0.3">
      <c r="D1193" s="23"/>
      <c r="O1193" s="98"/>
      <c r="U1193" s="34"/>
      <c r="V1193" s="34"/>
    </row>
    <row r="1194" spans="4:22" s="2" customFormat="1" ht="27" customHeight="1" x14ac:dyDescent="0.3">
      <c r="D1194" s="23"/>
      <c r="O1194" s="98"/>
      <c r="U1194" s="34"/>
      <c r="V1194" s="34"/>
    </row>
    <row r="1195" spans="4:22" s="2" customFormat="1" ht="27" customHeight="1" x14ac:dyDescent="0.3">
      <c r="D1195" s="23"/>
      <c r="O1195" s="98"/>
      <c r="U1195" s="34"/>
      <c r="V1195" s="34"/>
    </row>
    <row r="1196" spans="4:22" s="2" customFormat="1" ht="27" customHeight="1" x14ac:dyDescent="0.3">
      <c r="D1196" s="23"/>
      <c r="O1196" s="98"/>
      <c r="U1196" s="34"/>
      <c r="V1196" s="34"/>
    </row>
    <row r="1197" spans="4:22" s="2" customFormat="1" ht="27" customHeight="1" x14ac:dyDescent="0.3">
      <c r="D1197" s="23"/>
      <c r="O1197" s="98"/>
      <c r="U1197" s="34"/>
      <c r="V1197" s="34"/>
    </row>
    <row r="1198" spans="4:22" s="2" customFormat="1" ht="27" customHeight="1" x14ac:dyDescent="0.3">
      <c r="D1198" s="23"/>
      <c r="O1198" s="98"/>
      <c r="U1198" s="34"/>
      <c r="V1198" s="34"/>
    </row>
    <row r="1199" spans="4:22" s="2" customFormat="1" ht="27" customHeight="1" x14ac:dyDescent="0.3">
      <c r="D1199" s="23"/>
      <c r="O1199" s="98"/>
      <c r="U1199" s="34"/>
      <c r="V1199" s="34"/>
    </row>
    <row r="1200" spans="4:22" s="2" customFormat="1" ht="27" customHeight="1" x14ac:dyDescent="0.3">
      <c r="D1200" s="23"/>
      <c r="O1200" s="98"/>
      <c r="U1200" s="34"/>
      <c r="V1200" s="34"/>
    </row>
    <row r="1201" spans="4:22" s="2" customFormat="1" ht="27" customHeight="1" x14ac:dyDescent="0.3">
      <c r="D1201" s="23"/>
      <c r="O1201" s="98"/>
      <c r="U1201" s="34"/>
      <c r="V1201" s="34"/>
    </row>
    <row r="1202" spans="4:22" s="2" customFormat="1" ht="27" customHeight="1" x14ac:dyDescent="0.3">
      <c r="D1202" s="23"/>
      <c r="O1202" s="98"/>
      <c r="U1202" s="34"/>
      <c r="V1202" s="34"/>
    </row>
    <row r="1203" spans="4:22" s="2" customFormat="1" ht="27" customHeight="1" x14ac:dyDescent="0.3">
      <c r="D1203" s="23"/>
      <c r="O1203" s="98"/>
      <c r="U1203" s="34"/>
      <c r="V1203" s="34"/>
    </row>
    <row r="1204" spans="4:22" s="2" customFormat="1" ht="27" customHeight="1" x14ac:dyDescent="0.3">
      <c r="D1204" s="23"/>
      <c r="O1204" s="98"/>
      <c r="U1204" s="34"/>
      <c r="V1204" s="34"/>
    </row>
    <row r="1205" spans="4:22" s="2" customFormat="1" ht="27" customHeight="1" x14ac:dyDescent="0.3">
      <c r="D1205" s="23"/>
      <c r="O1205" s="98"/>
      <c r="U1205" s="34"/>
      <c r="V1205" s="34"/>
    </row>
    <row r="1206" spans="4:22" s="2" customFormat="1" ht="27" customHeight="1" x14ac:dyDescent="0.3">
      <c r="D1206" s="23"/>
      <c r="O1206" s="98"/>
      <c r="U1206" s="34"/>
      <c r="V1206" s="34"/>
    </row>
    <row r="1207" spans="4:22" s="2" customFormat="1" ht="27" customHeight="1" x14ac:dyDescent="0.3">
      <c r="D1207" s="23"/>
      <c r="O1207" s="98"/>
      <c r="U1207" s="34"/>
      <c r="V1207" s="34"/>
    </row>
    <row r="1208" spans="4:22" s="2" customFormat="1" ht="27" customHeight="1" x14ac:dyDescent="0.3">
      <c r="D1208" s="23"/>
      <c r="O1208" s="98"/>
      <c r="U1208" s="34"/>
      <c r="V1208" s="34"/>
    </row>
    <row r="1209" spans="4:22" s="2" customFormat="1" ht="27" customHeight="1" x14ac:dyDescent="0.3">
      <c r="D1209" s="23"/>
      <c r="O1209" s="98"/>
      <c r="U1209" s="34"/>
      <c r="V1209" s="34"/>
    </row>
    <row r="1210" spans="4:22" s="2" customFormat="1" ht="27" customHeight="1" x14ac:dyDescent="0.3">
      <c r="D1210" s="23"/>
      <c r="O1210" s="98"/>
      <c r="U1210" s="34"/>
      <c r="V1210" s="34"/>
    </row>
    <row r="1211" spans="4:22" s="2" customFormat="1" ht="27" customHeight="1" x14ac:dyDescent="0.3">
      <c r="D1211" s="23"/>
      <c r="O1211" s="98"/>
      <c r="U1211" s="34"/>
      <c r="V1211" s="34"/>
    </row>
    <row r="1212" spans="4:22" s="2" customFormat="1" ht="27" customHeight="1" x14ac:dyDescent="0.3">
      <c r="D1212" s="23"/>
      <c r="O1212" s="98"/>
      <c r="U1212" s="34"/>
      <c r="V1212" s="34"/>
    </row>
    <row r="1213" spans="4:22" s="2" customFormat="1" ht="27" customHeight="1" x14ac:dyDescent="0.3">
      <c r="D1213" s="23"/>
      <c r="O1213" s="98"/>
      <c r="U1213" s="34"/>
      <c r="V1213" s="34"/>
    </row>
    <row r="1214" spans="4:22" s="2" customFormat="1" ht="27" customHeight="1" x14ac:dyDescent="0.3">
      <c r="D1214" s="23"/>
      <c r="O1214" s="98"/>
      <c r="U1214" s="34"/>
      <c r="V1214" s="34"/>
    </row>
    <row r="1215" spans="4:22" s="2" customFormat="1" ht="27" customHeight="1" x14ac:dyDescent="0.3">
      <c r="D1215" s="23"/>
      <c r="O1215" s="98"/>
      <c r="U1215" s="34"/>
      <c r="V1215" s="34"/>
    </row>
    <row r="1216" spans="4:22" s="2" customFormat="1" ht="27" customHeight="1" x14ac:dyDescent="0.3">
      <c r="D1216" s="23"/>
      <c r="O1216" s="98"/>
      <c r="U1216" s="34"/>
      <c r="V1216" s="34"/>
    </row>
    <row r="1217" spans="4:22" s="2" customFormat="1" ht="27" customHeight="1" x14ac:dyDescent="0.3">
      <c r="D1217" s="23"/>
      <c r="O1217" s="98"/>
      <c r="U1217" s="34"/>
      <c r="V1217" s="34"/>
    </row>
    <row r="1218" spans="4:22" s="2" customFormat="1" ht="27" customHeight="1" x14ac:dyDescent="0.3">
      <c r="D1218" s="23"/>
      <c r="O1218" s="98"/>
      <c r="U1218" s="34"/>
      <c r="V1218" s="34"/>
    </row>
    <row r="1219" spans="4:22" s="2" customFormat="1" ht="27" customHeight="1" x14ac:dyDescent="0.3">
      <c r="D1219" s="23"/>
      <c r="O1219" s="98"/>
      <c r="U1219" s="34"/>
      <c r="V1219" s="34"/>
    </row>
    <row r="1220" spans="4:22" s="2" customFormat="1" ht="27" customHeight="1" x14ac:dyDescent="0.3">
      <c r="D1220" s="23"/>
      <c r="O1220" s="98"/>
      <c r="U1220" s="34"/>
      <c r="V1220" s="34"/>
    </row>
    <row r="1221" spans="4:22" s="2" customFormat="1" ht="27" customHeight="1" x14ac:dyDescent="0.3">
      <c r="D1221" s="23"/>
      <c r="O1221" s="98"/>
      <c r="U1221" s="34"/>
      <c r="V1221" s="34"/>
    </row>
    <row r="1222" spans="4:22" s="2" customFormat="1" ht="27" customHeight="1" x14ac:dyDescent="0.3">
      <c r="D1222" s="23"/>
      <c r="O1222" s="98"/>
      <c r="U1222" s="34"/>
      <c r="V1222" s="34"/>
    </row>
    <row r="1223" spans="4:22" s="2" customFormat="1" ht="27" customHeight="1" x14ac:dyDescent="0.3">
      <c r="D1223" s="23"/>
      <c r="O1223" s="98"/>
      <c r="U1223" s="34"/>
      <c r="V1223" s="34"/>
    </row>
    <row r="1224" spans="4:22" s="2" customFormat="1" ht="27" customHeight="1" x14ac:dyDescent="0.3">
      <c r="D1224" s="23"/>
      <c r="O1224" s="98"/>
      <c r="U1224" s="34"/>
      <c r="V1224" s="34"/>
    </row>
    <row r="1225" spans="4:22" s="2" customFormat="1" ht="27" customHeight="1" x14ac:dyDescent="0.3">
      <c r="D1225" s="23"/>
      <c r="O1225" s="98"/>
      <c r="U1225" s="34"/>
      <c r="V1225" s="34"/>
    </row>
    <row r="1226" spans="4:22" s="2" customFormat="1" ht="27" customHeight="1" x14ac:dyDescent="0.3">
      <c r="D1226" s="23"/>
      <c r="O1226" s="98"/>
      <c r="U1226" s="34"/>
      <c r="V1226" s="34"/>
    </row>
    <row r="1227" spans="4:22" s="2" customFormat="1" ht="27" customHeight="1" x14ac:dyDescent="0.3">
      <c r="D1227" s="23"/>
      <c r="O1227" s="98"/>
      <c r="U1227" s="34"/>
      <c r="V1227" s="34"/>
    </row>
    <row r="1228" spans="4:22" s="2" customFormat="1" ht="27" customHeight="1" x14ac:dyDescent="0.3">
      <c r="D1228" s="23"/>
      <c r="O1228" s="98"/>
      <c r="U1228" s="34"/>
      <c r="V1228" s="34"/>
    </row>
    <row r="1229" spans="4:22" s="2" customFormat="1" ht="27" customHeight="1" x14ac:dyDescent="0.3">
      <c r="D1229" s="23"/>
      <c r="O1229" s="98"/>
      <c r="U1229" s="34"/>
      <c r="V1229" s="34"/>
    </row>
    <row r="1230" spans="4:22" s="2" customFormat="1" ht="27" customHeight="1" x14ac:dyDescent="0.3">
      <c r="D1230" s="23"/>
      <c r="O1230" s="98"/>
      <c r="U1230" s="34"/>
      <c r="V1230" s="34"/>
    </row>
    <row r="1231" spans="4:22" s="2" customFormat="1" ht="27" customHeight="1" x14ac:dyDescent="0.3">
      <c r="D1231" s="23"/>
      <c r="O1231" s="98"/>
      <c r="U1231" s="34"/>
      <c r="V1231" s="34"/>
    </row>
    <row r="1232" spans="4:22" s="2" customFormat="1" ht="27" customHeight="1" x14ac:dyDescent="0.3">
      <c r="D1232" s="23"/>
      <c r="O1232" s="98"/>
      <c r="U1232" s="34"/>
      <c r="V1232" s="34"/>
    </row>
    <row r="1233" spans="4:22" s="2" customFormat="1" ht="27" customHeight="1" x14ac:dyDescent="0.3">
      <c r="D1233" s="23"/>
      <c r="O1233" s="98"/>
      <c r="U1233" s="34"/>
      <c r="V1233" s="34"/>
    </row>
    <row r="1234" spans="4:22" s="2" customFormat="1" ht="27" customHeight="1" x14ac:dyDescent="0.3">
      <c r="D1234" s="23"/>
      <c r="O1234" s="98"/>
      <c r="U1234" s="34"/>
      <c r="V1234" s="34"/>
    </row>
    <row r="1235" spans="4:22" s="2" customFormat="1" ht="27" customHeight="1" x14ac:dyDescent="0.3">
      <c r="D1235" s="23"/>
      <c r="O1235" s="98"/>
      <c r="U1235" s="34"/>
      <c r="V1235" s="34"/>
    </row>
    <row r="1236" spans="4:22" s="2" customFormat="1" ht="27" customHeight="1" x14ac:dyDescent="0.3">
      <c r="D1236" s="23"/>
      <c r="O1236" s="98"/>
      <c r="U1236" s="34"/>
      <c r="V1236" s="34"/>
    </row>
    <row r="1237" spans="4:22" s="2" customFormat="1" ht="27" customHeight="1" x14ac:dyDescent="0.3">
      <c r="D1237" s="23"/>
      <c r="O1237" s="98"/>
      <c r="U1237" s="34"/>
      <c r="V1237" s="34"/>
    </row>
    <row r="1238" spans="4:22" s="2" customFormat="1" ht="27" customHeight="1" x14ac:dyDescent="0.3">
      <c r="D1238" s="23"/>
      <c r="O1238" s="98"/>
      <c r="U1238" s="34"/>
      <c r="V1238" s="34"/>
    </row>
    <row r="1239" spans="4:22" s="2" customFormat="1" ht="27" customHeight="1" x14ac:dyDescent="0.3">
      <c r="D1239" s="23"/>
      <c r="O1239" s="98"/>
      <c r="U1239" s="34"/>
      <c r="V1239" s="34"/>
    </row>
    <row r="1240" spans="4:22" s="2" customFormat="1" ht="27" customHeight="1" x14ac:dyDescent="0.3">
      <c r="D1240" s="23"/>
      <c r="O1240" s="98"/>
      <c r="U1240" s="34"/>
      <c r="V1240" s="34"/>
    </row>
    <row r="1241" spans="4:22" s="2" customFormat="1" ht="27" customHeight="1" x14ac:dyDescent="0.3">
      <c r="D1241" s="23"/>
      <c r="O1241" s="98"/>
      <c r="U1241" s="34"/>
      <c r="V1241" s="34"/>
    </row>
    <row r="1242" spans="4:22" s="2" customFormat="1" ht="27" customHeight="1" x14ac:dyDescent="0.3">
      <c r="D1242" s="23"/>
      <c r="O1242" s="98"/>
      <c r="U1242" s="34"/>
      <c r="V1242" s="34"/>
    </row>
    <row r="1243" spans="4:22" s="2" customFormat="1" ht="27" customHeight="1" x14ac:dyDescent="0.3">
      <c r="D1243" s="23"/>
      <c r="O1243" s="98"/>
      <c r="U1243" s="34"/>
      <c r="V1243" s="34"/>
    </row>
    <row r="1244" spans="4:22" s="2" customFormat="1" ht="27" customHeight="1" x14ac:dyDescent="0.3">
      <c r="D1244" s="23"/>
      <c r="O1244" s="98"/>
      <c r="U1244" s="34"/>
      <c r="V1244" s="34"/>
    </row>
    <row r="1245" spans="4:22" s="2" customFormat="1" ht="27" customHeight="1" x14ac:dyDescent="0.3">
      <c r="D1245" s="23"/>
      <c r="O1245" s="98"/>
      <c r="U1245" s="34"/>
      <c r="V1245" s="34"/>
    </row>
    <row r="1246" spans="4:22" s="2" customFormat="1" ht="27" customHeight="1" x14ac:dyDescent="0.3">
      <c r="D1246" s="23"/>
      <c r="O1246" s="98"/>
      <c r="U1246" s="34"/>
      <c r="V1246" s="34"/>
    </row>
    <row r="1247" spans="4:22" s="2" customFormat="1" ht="27" customHeight="1" x14ac:dyDescent="0.3">
      <c r="D1247" s="23"/>
      <c r="O1247" s="98"/>
      <c r="U1247" s="34"/>
      <c r="V1247" s="34"/>
    </row>
    <row r="1248" spans="4:22" s="2" customFormat="1" ht="27" customHeight="1" x14ac:dyDescent="0.3">
      <c r="D1248" s="23"/>
      <c r="O1248" s="98"/>
      <c r="U1248" s="34"/>
      <c r="V1248" s="34"/>
    </row>
    <row r="1249" spans="4:22" s="2" customFormat="1" ht="27" customHeight="1" x14ac:dyDescent="0.3">
      <c r="D1249" s="23"/>
      <c r="O1249" s="98"/>
      <c r="U1249" s="34"/>
      <c r="V1249" s="34"/>
    </row>
    <row r="1250" spans="4:22" s="2" customFormat="1" ht="27" customHeight="1" x14ac:dyDescent="0.3">
      <c r="D1250" s="23"/>
      <c r="O1250" s="98"/>
      <c r="U1250" s="34"/>
      <c r="V1250" s="34"/>
    </row>
    <row r="1251" spans="4:22" s="2" customFormat="1" ht="27" customHeight="1" x14ac:dyDescent="0.3">
      <c r="D1251" s="23"/>
      <c r="O1251" s="98"/>
      <c r="U1251" s="34"/>
      <c r="V1251" s="34"/>
    </row>
    <row r="1252" spans="4:22" s="2" customFormat="1" ht="27" customHeight="1" x14ac:dyDescent="0.3">
      <c r="D1252" s="23"/>
      <c r="O1252" s="98"/>
      <c r="U1252" s="34"/>
      <c r="V1252" s="34"/>
    </row>
    <row r="1253" spans="4:22" s="2" customFormat="1" ht="27" customHeight="1" x14ac:dyDescent="0.3">
      <c r="D1253" s="23"/>
      <c r="O1253" s="98"/>
      <c r="U1253" s="34"/>
      <c r="V1253" s="34"/>
    </row>
    <row r="1254" spans="4:22" s="2" customFormat="1" ht="27" customHeight="1" x14ac:dyDescent="0.3">
      <c r="D1254" s="23"/>
      <c r="O1254" s="98"/>
      <c r="U1254" s="34"/>
      <c r="V1254" s="34"/>
    </row>
    <row r="1255" spans="4:22" s="2" customFormat="1" ht="27" customHeight="1" x14ac:dyDescent="0.3">
      <c r="D1255" s="23"/>
      <c r="O1255" s="98"/>
      <c r="U1255" s="34"/>
      <c r="V1255" s="34"/>
    </row>
    <row r="1256" spans="4:22" s="2" customFormat="1" ht="27" customHeight="1" x14ac:dyDescent="0.3">
      <c r="D1256" s="23"/>
      <c r="O1256" s="98"/>
      <c r="U1256" s="34"/>
      <c r="V1256" s="34"/>
    </row>
    <row r="1257" spans="4:22" s="2" customFormat="1" ht="27" customHeight="1" x14ac:dyDescent="0.3">
      <c r="D1257" s="23"/>
      <c r="O1257" s="98"/>
      <c r="U1257" s="34"/>
      <c r="V1257" s="34"/>
    </row>
    <row r="1258" spans="4:22" s="2" customFormat="1" ht="27" customHeight="1" x14ac:dyDescent="0.3">
      <c r="D1258" s="23"/>
      <c r="O1258" s="98"/>
      <c r="U1258" s="34"/>
      <c r="V1258" s="34"/>
    </row>
    <row r="1259" spans="4:22" s="2" customFormat="1" ht="27" customHeight="1" x14ac:dyDescent="0.3">
      <c r="D1259" s="23"/>
      <c r="O1259" s="98"/>
      <c r="U1259" s="34"/>
      <c r="V1259" s="34"/>
    </row>
    <row r="1260" spans="4:22" s="2" customFormat="1" ht="27" customHeight="1" x14ac:dyDescent="0.3">
      <c r="D1260" s="23"/>
      <c r="O1260" s="98"/>
      <c r="U1260" s="34"/>
      <c r="V1260" s="34"/>
    </row>
    <row r="1261" spans="4:22" s="2" customFormat="1" ht="27" customHeight="1" x14ac:dyDescent="0.3">
      <c r="D1261" s="23"/>
      <c r="O1261" s="98"/>
      <c r="U1261" s="34"/>
      <c r="V1261" s="34"/>
    </row>
    <row r="1262" spans="4:22" s="2" customFormat="1" ht="27" customHeight="1" x14ac:dyDescent="0.3">
      <c r="D1262" s="23"/>
      <c r="O1262" s="98"/>
      <c r="U1262" s="34"/>
      <c r="V1262" s="34"/>
    </row>
    <row r="1263" spans="4:22" s="2" customFormat="1" ht="27" customHeight="1" x14ac:dyDescent="0.3">
      <c r="D1263" s="23"/>
      <c r="O1263" s="98"/>
      <c r="U1263" s="34"/>
      <c r="V1263" s="34"/>
    </row>
    <row r="1264" spans="4:22" s="2" customFormat="1" ht="27" customHeight="1" x14ac:dyDescent="0.3">
      <c r="D1264" s="23"/>
      <c r="O1264" s="98"/>
      <c r="U1264" s="34"/>
      <c r="V1264" s="34"/>
    </row>
    <row r="1265" spans="4:22" s="2" customFormat="1" ht="27" customHeight="1" x14ac:dyDescent="0.3">
      <c r="D1265" s="23"/>
      <c r="O1265" s="98"/>
      <c r="U1265" s="34"/>
      <c r="V1265" s="34"/>
    </row>
    <row r="1266" spans="4:22" s="2" customFormat="1" ht="27" customHeight="1" x14ac:dyDescent="0.3">
      <c r="D1266" s="23"/>
      <c r="O1266" s="98"/>
      <c r="U1266" s="34"/>
      <c r="V1266" s="34"/>
    </row>
    <row r="1267" spans="4:22" s="2" customFormat="1" ht="27" customHeight="1" x14ac:dyDescent="0.3">
      <c r="D1267" s="23"/>
      <c r="O1267" s="98"/>
      <c r="U1267" s="34"/>
      <c r="V1267" s="34"/>
    </row>
    <row r="1268" spans="4:22" s="2" customFormat="1" ht="27" customHeight="1" x14ac:dyDescent="0.3">
      <c r="D1268" s="23"/>
      <c r="O1268" s="98"/>
      <c r="U1268" s="34"/>
      <c r="V1268" s="34"/>
    </row>
    <row r="1269" spans="4:22" s="2" customFormat="1" ht="27" customHeight="1" x14ac:dyDescent="0.3">
      <c r="D1269" s="23"/>
      <c r="O1269" s="98"/>
      <c r="U1269" s="34"/>
      <c r="V1269" s="34"/>
    </row>
    <row r="1270" spans="4:22" s="2" customFormat="1" ht="27" customHeight="1" x14ac:dyDescent="0.3">
      <c r="D1270" s="23"/>
      <c r="O1270" s="98"/>
      <c r="U1270" s="34"/>
      <c r="V1270" s="34"/>
    </row>
    <row r="1271" spans="4:22" s="2" customFormat="1" ht="27" customHeight="1" x14ac:dyDescent="0.3">
      <c r="D1271" s="23"/>
      <c r="O1271" s="98"/>
      <c r="U1271" s="34"/>
      <c r="V1271" s="34"/>
    </row>
    <row r="1272" spans="4:22" s="2" customFormat="1" ht="27" customHeight="1" x14ac:dyDescent="0.3">
      <c r="D1272" s="23"/>
      <c r="O1272" s="98"/>
      <c r="U1272" s="34"/>
      <c r="V1272" s="34"/>
    </row>
    <row r="1273" spans="4:22" s="2" customFormat="1" ht="27" customHeight="1" x14ac:dyDescent="0.3">
      <c r="D1273" s="23"/>
      <c r="O1273" s="98"/>
      <c r="U1273" s="34"/>
      <c r="V1273" s="34"/>
    </row>
    <row r="1274" spans="4:22" s="2" customFormat="1" ht="27" customHeight="1" x14ac:dyDescent="0.3">
      <c r="D1274" s="23"/>
      <c r="O1274" s="98"/>
      <c r="U1274" s="34"/>
      <c r="V1274" s="34"/>
    </row>
    <row r="1275" spans="4:22" s="2" customFormat="1" ht="27" customHeight="1" x14ac:dyDescent="0.3">
      <c r="D1275" s="23"/>
      <c r="O1275" s="98"/>
      <c r="U1275" s="34"/>
      <c r="V1275" s="34"/>
    </row>
    <row r="1276" spans="4:22" s="2" customFormat="1" ht="27" customHeight="1" x14ac:dyDescent="0.3">
      <c r="D1276" s="23"/>
      <c r="O1276" s="98"/>
      <c r="U1276" s="34"/>
      <c r="V1276" s="34"/>
    </row>
    <row r="1277" spans="4:22" s="2" customFormat="1" ht="27" customHeight="1" x14ac:dyDescent="0.3">
      <c r="D1277" s="23"/>
      <c r="O1277" s="98"/>
      <c r="U1277" s="34"/>
      <c r="V1277" s="34"/>
    </row>
    <row r="1278" spans="4:22" s="2" customFormat="1" ht="27" customHeight="1" x14ac:dyDescent="0.3">
      <c r="D1278" s="23"/>
      <c r="O1278" s="98"/>
      <c r="U1278" s="34"/>
      <c r="V1278" s="34"/>
    </row>
    <row r="1279" spans="4:22" s="2" customFormat="1" ht="27" customHeight="1" x14ac:dyDescent="0.3">
      <c r="D1279" s="23"/>
      <c r="O1279" s="98"/>
      <c r="U1279" s="34"/>
      <c r="V1279" s="34"/>
    </row>
    <row r="1280" spans="4:22" s="2" customFormat="1" ht="27" customHeight="1" x14ac:dyDescent="0.3">
      <c r="D1280" s="23"/>
      <c r="O1280" s="98"/>
      <c r="U1280" s="34"/>
      <c r="V1280" s="34"/>
    </row>
    <row r="1281" spans="4:22" s="2" customFormat="1" ht="27" customHeight="1" x14ac:dyDescent="0.3">
      <c r="D1281" s="23"/>
      <c r="O1281" s="98"/>
      <c r="U1281" s="34"/>
      <c r="V1281" s="34"/>
    </row>
    <row r="1282" spans="4:22" s="2" customFormat="1" ht="27" customHeight="1" x14ac:dyDescent="0.3">
      <c r="D1282" s="23"/>
      <c r="O1282" s="98"/>
      <c r="U1282" s="34"/>
      <c r="V1282" s="34"/>
    </row>
    <row r="1283" spans="4:22" s="2" customFormat="1" ht="27" customHeight="1" x14ac:dyDescent="0.3">
      <c r="D1283" s="23"/>
      <c r="O1283" s="98"/>
      <c r="U1283" s="34"/>
      <c r="V1283" s="34"/>
    </row>
    <row r="1284" spans="4:22" s="2" customFormat="1" ht="27" customHeight="1" x14ac:dyDescent="0.3">
      <c r="D1284" s="23"/>
      <c r="O1284" s="98"/>
      <c r="U1284" s="34"/>
      <c r="V1284" s="34"/>
    </row>
    <row r="1285" spans="4:22" s="2" customFormat="1" ht="27" customHeight="1" x14ac:dyDescent="0.3">
      <c r="D1285" s="23"/>
      <c r="O1285" s="98"/>
      <c r="U1285" s="34"/>
      <c r="V1285" s="34"/>
    </row>
    <row r="1286" spans="4:22" s="2" customFormat="1" ht="27" customHeight="1" x14ac:dyDescent="0.3">
      <c r="D1286" s="23"/>
      <c r="O1286" s="98"/>
      <c r="U1286" s="34"/>
      <c r="V1286" s="34"/>
    </row>
    <row r="1287" spans="4:22" s="2" customFormat="1" ht="27" customHeight="1" x14ac:dyDescent="0.3">
      <c r="D1287" s="23"/>
      <c r="O1287" s="98"/>
      <c r="U1287" s="34"/>
      <c r="V1287" s="34"/>
    </row>
    <row r="1288" spans="4:22" s="2" customFormat="1" ht="27" customHeight="1" x14ac:dyDescent="0.3">
      <c r="D1288" s="23"/>
      <c r="O1288" s="98"/>
      <c r="U1288" s="34"/>
      <c r="V1288" s="34"/>
    </row>
    <row r="1289" spans="4:22" s="2" customFormat="1" ht="27" customHeight="1" x14ac:dyDescent="0.3">
      <c r="D1289" s="23"/>
      <c r="O1289" s="98"/>
      <c r="U1289" s="34"/>
      <c r="V1289" s="34"/>
    </row>
    <row r="1290" spans="4:22" s="2" customFormat="1" ht="27" customHeight="1" x14ac:dyDescent="0.3">
      <c r="D1290" s="23"/>
      <c r="O1290" s="98"/>
      <c r="U1290" s="34"/>
      <c r="V1290" s="34"/>
    </row>
    <row r="1291" spans="4:22" s="2" customFormat="1" ht="27" customHeight="1" x14ac:dyDescent="0.3">
      <c r="D1291" s="23"/>
      <c r="O1291" s="98"/>
      <c r="U1291" s="34"/>
      <c r="V1291" s="34"/>
    </row>
    <row r="1292" spans="4:22" s="2" customFormat="1" ht="27" customHeight="1" x14ac:dyDescent="0.3">
      <c r="D1292" s="23"/>
      <c r="O1292" s="98"/>
      <c r="U1292" s="34"/>
      <c r="V1292" s="34"/>
    </row>
    <row r="1293" spans="4:22" s="2" customFormat="1" ht="27" customHeight="1" x14ac:dyDescent="0.3">
      <c r="D1293" s="23"/>
      <c r="O1293" s="98"/>
      <c r="U1293" s="34"/>
      <c r="V1293" s="34"/>
    </row>
    <row r="1294" spans="4:22" s="2" customFormat="1" ht="27" customHeight="1" x14ac:dyDescent="0.3">
      <c r="D1294" s="23"/>
      <c r="O1294" s="98"/>
      <c r="U1294" s="34"/>
      <c r="V1294" s="34"/>
    </row>
    <row r="1295" spans="4:22" s="2" customFormat="1" ht="27" customHeight="1" x14ac:dyDescent="0.3">
      <c r="D1295" s="23"/>
      <c r="O1295" s="98"/>
      <c r="U1295" s="34"/>
      <c r="V1295" s="34"/>
    </row>
    <row r="1296" spans="4:22" s="2" customFormat="1" ht="27" customHeight="1" x14ac:dyDescent="0.3">
      <c r="D1296" s="23"/>
      <c r="O1296" s="98"/>
      <c r="U1296" s="34"/>
      <c r="V1296" s="34"/>
    </row>
    <row r="1297" spans="4:22" s="2" customFormat="1" ht="27" customHeight="1" x14ac:dyDescent="0.3">
      <c r="D1297" s="23"/>
      <c r="O1297" s="98"/>
      <c r="U1297" s="34"/>
      <c r="V1297" s="34"/>
    </row>
    <row r="1298" spans="4:22" s="2" customFormat="1" ht="27" customHeight="1" x14ac:dyDescent="0.3">
      <c r="D1298" s="23"/>
      <c r="O1298" s="98"/>
      <c r="U1298" s="34"/>
      <c r="V1298" s="34"/>
    </row>
    <row r="1299" spans="4:22" s="2" customFormat="1" ht="27" customHeight="1" x14ac:dyDescent="0.3">
      <c r="D1299" s="23"/>
      <c r="O1299" s="98"/>
      <c r="U1299" s="34"/>
      <c r="V1299" s="34"/>
    </row>
    <row r="1300" spans="4:22" s="2" customFormat="1" ht="27" customHeight="1" x14ac:dyDescent="0.3">
      <c r="D1300" s="23"/>
      <c r="O1300" s="98"/>
      <c r="U1300" s="34"/>
      <c r="V1300" s="34"/>
    </row>
    <row r="1301" spans="4:22" s="2" customFormat="1" ht="27" customHeight="1" x14ac:dyDescent="0.3">
      <c r="D1301" s="23"/>
      <c r="O1301" s="98"/>
      <c r="U1301" s="34"/>
      <c r="V1301" s="34"/>
    </row>
    <row r="1302" spans="4:22" s="2" customFormat="1" ht="27" customHeight="1" x14ac:dyDescent="0.3">
      <c r="D1302" s="23"/>
      <c r="O1302" s="98"/>
      <c r="U1302" s="34"/>
      <c r="V1302" s="34"/>
    </row>
    <row r="1303" spans="4:22" s="2" customFormat="1" ht="27" customHeight="1" x14ac:dyDescent="0.3">
      <c r="D1303" s="23"/>
      <c r="O1303" s="98"/>
      <c r="U1303" s="34"/>
      <c r="V1303" s="34"/>
    </row>
    <row r="1304" spans="4:22" s="2" customFormat="1" ht="27" customHeight="1" x14ac:dyDescent="0.3">
      <c r="D1304" s="23"/>
      <c r="O1304" s="98"/>
      <c r="U1304" s="34"/>
      <c r="V1304" s="34"/>
    </row>
    <row r="1305" spans="4:22" s="2" customFormat="1" ht="27" customHeight="1" x14ac:dyDescent="0.3">
      <c r="D1305" s="23"/>
      <c r="O1305" s="98"/>
      <c r="U1305" s="34"/>
      <c r="V1305" s="34"/>
    </row>
    <row r="1306" spans="4:22" s="2" customFormat="1" ht="27" customHeight="1" x14ac:dyDescent="0.3">
      <c r="D1306" s="23"/>
      <c r="O1306" s="98"/>
      <c r="U1306" s="34"/>
      <c r="V1306" s="34"/>
    </row>
    <row r="1307" spans="4:22" s="2" customFormat="1" ht="27" customHeight="1" x14ac:dyDescent="0.3">
      <c r="D1307" s="23"/>
      <c r="O1307" s="98"/>
      <c r="U1307" s="34"/>
      <c r="V1307" s="34"/>
    </row>
    <row r="1308" spans="4:22" s="2" customFormat="1" ht="27" customHeight="1" x14ac:dyDescent="0.3">
      <c r="D1308" s="23"/>
      <c r="O1308" s="98"/>
      <c r="U1308" s="34"/>
      <c r="V1308" s="34"/>
    </row>
    <row r="1309" spans="4:22" s="2" customFormat="1" ht="27" customHeight="1" x14ac:dyDescent="0.3">
      <c r="D1309" s="23"/>
      <c r="O1309" s="98"/>
      <c r="U1309" s="34"/>
      <c r="V1309" s="34"/>
    </row>
    <row r="1310" spans="4:22" s="2" customFormat="1" ht="27" customHeight="1" x14ac:dyDescent="0.3">
      <c r="D1310" s="23"/>
      <c r="O1310" s="98"/>
      <c r="U1310" s="34"/>
      <c r="V1310" s="34"/>
    </row>
    <row r="1311" spans="4:22" s="2" customFormat="1" ht="27" customHeight="1" x14ac:dyDescent="0.3">
      <c r="D1311" s="23"/>
      <c r="O1311" s="98"/>
      <c r="U1311" s="34"/>
      <c r="V1311" s="34"/>
    </row>
    <row r="1312" spans="4:22" s="2" customFormat="1" ht="27" customHeight="1" x14ac:dyDescent="0.3">
      <c r="D1312" s="23"/>
      <c r="O1312" s="98"/>
      <c r="U1312" s="34"/>
      <c r="V1312" s="34"/>
    </row>
    <row r="1313" spans="4:22" s="2" customFormat="1" ht="27" customHeight="1" x14ac:dyDescent="0.3">
      <c r="D1313" s="23"/>
      <c r="O1313" s="98"/>
      <c r="U1313" s="34"/>
      <c r="V1313" s="34"/>
    </row>
    <row r="1314" spans="4:22" s="2" customFormat="1" ht="27" customHeight="1" x14ac:dyDescent="0.3">
      <c r="D1314" s="23"/>
      <c r="O1314" s="98"/>
      <c r="U1314" s="34"/>
      <c r="V1314" s="34"/>
    </row>
    <row r="1315" spans="4:22" s="2" customFormat="1" ht="27" customHeight="1" x14ac:dyDescent="0.3">
      <c r="D1315" s="23"/>
      <c r="O1315" s="98"/>
      <c r="U1315" s="34"/>
      <c r="V1315" s="34"/>
    </row>
    <row r="1316" spans="4:22" s="2" customFormat="1" ht="27" customHeight="1" x14ac:dyDescent="0.3">
      <c r="D1316" s="23"/>
      <c r="O1316" s="98"/>
      <c r="U1316" s="34"/>
      <c r="V1316" s="34"/>
    </row>
    <row r="1317" spans="4:22" s="2" customFormat="1" ht="27" customHeight="1" x14ac:dyDescent="0.3">
      <c r="D1317" s="23"/>
      <c r="O1317" s="98"/>
      <c r="U1317" s="34"/>
      <c r="V1317" s="34"/>
    </row>
    <row r="1318" spans="4:22" s="2" customFormat="1" ht="27" customHeight="1" x14ac:dyDescent="0.3">
      <c r="D1318" s="23"/>
      <c r="O1318" s="98"/>
      <c r="U1318" s="34"/>
      <c r="V1318" s="34"/>
    </row>
    <row r="1319" spans="4:22" s="2" customFormat="1" ht="27" customHeight="1" x14ac:dyDescent="0.3">
      <c r="D1319" s="23"/>
      <c r="O1319" s="98"/>
      <c r="U1319" s="34"/>
      <c r="V1319" s="34"/>
    </row>
    <row r="1320" spans="4:22" s="2" customFormat="1" ht="27" customHeight="1" x14ac:dyDescent="0.3">
      <c r="D1320" s="23"/>
      <c r="O1320" s="98"/>
      <c r="U1320" s="34"/>
      <c r="V1320" s="34"/>
    </row>
    <row r="1321" spans="4:22" s="2" customFormat="1" ht="27" customHeight="1" x14ac:dyDescent="0.3">
      <c r="D1321" s="23"/>
      <c r="O1321" s="98"/>
      <c r="U1321" s="34"/>
      <c r="V1321" s="34"/>
    </row>
    <row r="1322" spans="4:22" s="2" customFormat="1" ht="27" customHeight="1" x14ac:dyDescent="0.3">
      <c r="D1322" s="23"/>
      <c r="O1322" s="98"/>
      <c r="U1322" s="34"/>
      <c r="V1322" s="34"/>
    </row>
    <row r="1323" spans="4:22" s="2" customFormat="1" ht="27" customHeight="1" x14ac:dyDescent="0.3">
      <c r="D1323" s="23"/>
      <c r="O1323" s="98"/>
      <c r="U1323" s="34"/>
      <c r="V1323" s="34"/>
    </row>
    <row r="1324" spans="4:22" s="2" customFormat="1" ht="27" customHeight="1" x14ac:dyDescent="0.3">
      <c r="D1324" s="23"/>
      <c r="O1324" s="98"/>
      <c r="U1324" s="34"/>
      <c r="V1324" s="34"/>
    </row>
    <row r="1325" spans="4:22" s="2" customFormat="1" ht="27" customHeight="1" x14ac:dyDescent="0.3">
      <c r="D1325" s="23"/>
      <c r="O1325" s="98"/>
      <c r="U1325" s="34"/>
      <c r="V1325" s="34"/>
    </row>
    <row r="1326" spans="4:22" s="2" customFormat="1" ht="27" customHeight="1" x14ac:dyDescent="0.3">
      <c r="D1326" s="23"/>
      <c r="O1326" s="98"/>
      <c r="U1326" s="34"/>
      <c r="V1326" s="34"/>
    </row>
    <row r="1327" spans="4:22" s="2" customFormat="1" ht="27" customHeight="1" x14ac:dyDescent="0.3">
      <c r="D1327" s="23"/>
      <c r="O1327" s="98"/>
      <c r="U1327" s="34"/>
      <c r="V1327" s="34"/>
    </row>
    <row r="1328" spans="4:22" s="2" customFormat="1" ht="27" customHeight="1" x14ac:dyDescent="0.3">
      <c r="D1328" s="23"/>
      <c r="O1328" s="98"/>
      <c r="U1328" s="34"/>
      <c r="V1328" s="34"/>
    </row>
    <row r="1329" spans="4:22" s="2" customFormat="1" ht="27" customHeight="1" x14ac:dyDescent="0.3">
      <c r="D1329" s="23"/>
      <c r="O1329" s="98"/>
      <c r="U1329" s="34"/>
      <c r="V1329" s="34"/>
    </row>
    <row r="1330" spans="4:22" s="2" customFormat="1" ht="27" customHeight="1" x14ac:dyDescent="0.3">
      <c r="D1330" s="23"/>
      <c r="O1330" s="98"/>
      <c r="U1330" s="34"/>
      <c r="V1330" s="34"/>
    </row>
    <row r="1331" spans="4:22" s="2" customFormat="1" ht="27" customHeight="1" x14ac:dyDescent="0.3">
      <c r="D1331" s="23"/>
      <c r="O1331" s="98"/>
      <c r="U1331" s="34"/>
      <c r="V1331" s="34"/>
    </row>
    <row r="1332" spans="4:22" s="2" customFormat="1" ht="27" customHeight="1" x14ac:dyDescent="0.3">
      <c r="D1332" s="23"/>
      <c r="O1332" s="98"/>
      <c r="U1332" s="34"/>
      <c r="V1332" s="34"/>
    </row>
    <row r="1333" spans="4:22" s="2" customFormat="1" ht="27" customHeight="1" x14ac:dyDescent="0.3">
      <c r="D1333" s="23"/>
      <c r="O1333" s="98"/>
      <c r="U1333" s="34"/>
      <c r="V1333" s="34"/>
    </row>
    <row r="1334" spans="4:22" s="2" customFormat="1" ht="27" customHeight="1" x14ac:dyDescent="0.3">
      <c r="D1334" s="23"/>
      <c r="O1334" s="98"/>
      <c r="U1334" s="34"/>
      <c r="V1334" s="34"/>
    </row>
    <row r="1335" spans="4:22" s="2" customFormat="1" ht="27" customHeight="1" x14ac:dyDescent="0.3">
      <c r="D1335" s="23"/>
      <c r="O1335" s="98"/>
      <c r="U1335" s="34"/>
      <c r="V1335" s="34"/>
    </row>
    <row r="1336" spans="4:22" s="2" customFormat="1" ht="27" customHeight="1" x14ac:dyDescent="0.3">
      <c r="D1336" s="23"/>
      <c r="O1336" s="98"/>
      <c r="U1336" s="34"/>
      <c r="V1336" s="34"/>
    </row>
    <row r="1337" spans="4:22" s="2" customFormat="1" ht="27" customHeight="1" x14ac:dyDescent="0.3">
      <c r="D1337" s="23"/>
      <c r="O1337" s="98"/>
      <c r="U1337" s="34"/>
      <c r="V1337" s="34"/>
    </row>
    <row r="1338" spans="4:22" s="2" customFormat="1" ht="27" customHeight="1" x14ac:dyDescent="0.3">
      <c r="D1338" s="23"/>
      <c r="O1338" s="98"/>
      <c r="U1338" s="34"/>
      <c r="V1338" s="34"/>
    </row>
    <row r="1339" spans="4:22" s="2" customFormat="1" ht="27" customHeight="1" x14ac:dyDescent="0.3">
      <c r="D1339" s="23"/>
      <c r="O1339" s="98"/>
      <c r="U1339" s="34"/>
      <c r="V1339" s="34"/>
    </row>
    <row r="1340" spans="4:22" s="2" customFormat="1" ht="27" customHeight="1" x14ac:dyDescent="0.3">
      <c r="D1340" s="23"/>
      <c r="O1340" s="98"/>
      <c r="U1340" s="34"/>
      <c r="V1340" s="34"/>
    </row>
    <row r="1341" spans="4:22" s="2" customFormat="1" ht="27" customHeight="1" x14ac:dyDescent="0.3">
      <c r="D1341" s="23"/>
      <c r="O1341" s="98"/>
      <c r="U1341" s="34"/>
      <c r="V1341" s="34"/>
    </row>
    <row r="1342" spans="4:22" s="2" customFormat="1" ht="27" customHeight="1" x14ac:dyDescent="0.3">
      <c r="D1342" s="23"/>
      <c r="O1342" s="98"/>
      <c r="U1342" s="34"/>
      <c r="V1342" s="34"/>
    </row>
    <row r="1343" spans="4:22" s="2" customFormat="1" ht="27" customHeight="1" x14ac:dyDescent="0.3">
      <c r="D1343" s="23"/>
      <c r="O1343" s="98"/>
      <c r="U1343" s="34"/>
      <c r="V1343" s="34"/>
    </row>
    <row r="1344" spans="4:22" s="2" customFormat="1" ht="27" customHeight="1" x14ac:dyDescent="0.3">
      <c r="D1344" s="23"/>
      <c r="O1344" s="98"/>
      <c r="U1344" s="34"/>
      <c r="V1344" s="34"/>
    </row>
    <row r="1345" spans="4:22" s="2" customFormat="1" ht="27" customHeight="1" x14ac:dyDescent="0.3">
      <c r="D1345" s="23"/>
      <c r="O1345" s="98"/>
      <c r="U1345" s="34"/>
      <c r="V1345" s="34"/>
    </row>
    <row r="1346" spans="4:22" s="2" customFormat="1" ht="27" customHeight="1" x14ac:dyDescent="0.3">
      <c r="D1346" s="23"/>
      <c r="O1346" s="98"/>
      <c r="U1346" s="34"/>
      <c r="V1346" s="34"/>
    </row>
    <row r="1347" spans="4:22" s="2" customFormat="1" ht="27" customHeight="1" x14ac:dyDescent="0.3">
      <c r="D1347" s="23"/>
      <c r="O1347" s="98"/>
      <c r="U1347" s="34"/>
      <c r="V1347" s="34"/>
    </row>
    <row r="1348" spans="4:22" s="2" customFormat="1" ht="27" customHeight="1" x14ac:dyDescent="0.3">
      <c r="D1348" s="23"/>
      <c r="O1348" s="98"/>
      <c r="U1348" s="34"/>
      <c r="V1348" s="34"/>
    </row>
    <row r="1349" spans="4:22" s="2" customFormat="1" ht="27" customHeight="1" x14ac:dyDescent="0.3">
      <c r="D1349" s="23"/>
      <c r="O1349" s="98"/>
      <c r="U1349" s="34"/>
      <c r="V1349" s="34"/>
    </row>
    <row r="1350" spans="4:22" s="2" customFormat="1" ht="27" customHeight="1" x14ac:dyDescent="0.3">
      <c r="D1350" s="23"/>
      <c r="O1350" s="98"/>
      <c r="U1350" s="34"/>
      <c r="V1350" s="34"/>
    </row>
    <row r="1351" spans="4:22" s="2" customFormat="1" ht="27" customHeight="1" x14ac:dyDescent="0.3">
      <c r="D1351" s="23"/>
      <c r="O1351" s="98"/>
      <c r="U1351" s="34"/>
      <c r="V1351" s="34"/>
    </row>
    <row r="1352" spans="4:22" s="2" customFormat="1" ht="27" customHeight="1" x14ac:dyDescent="0.3">
      <c r="D1352" s="23"/>
      <c r="O1352" s="98"/>
      <c r="U1352" s="34"/>
      <c r="V1352" s="34"/>
    </row>
    <row r="1353" spans="4:22" s="2" customFormat="1" ht="27" customHeight="1" x14ac:dyDescent="0.3">
      <c r="D1353" s="23"/>
      <c r="O1353" s="98"/>
      <c r="U1353" s="34"/>
      <c r="V1353" s="34"/>
    </row>
    <row r="1354" spans="4:22" s="2" customFormat="1" ht="27" customHeight="1" x14ac:dyDescent="0.3">
      <c r="D1354" s="23"/>
      <c r="O1354" s="98"/>
      <c r="U1354" s="34"/>
      <c r="V1354" s="34"/>
    </row>
    <row r="1355" spans="4:22" s="2" customFormat="1" ht="27" customHeight="1" x14ac:dyDescent="0.3">
      <c r="D1355" s="23"/>
      <c r="O1355" s="98"/>
      <c r="U1355" s="34"/>
      <c r="V1355" s="34"/>
    </row>
    <row r="1356" spans="4:22" s="2" customFormat="1" ht="27" customHeight="1" x14ac:dyDescent="0.3">
      <c r="D1356" s="23"/>
      <c r="O1356" s="98"/>
      <c r="U1356" s="34"/>
      <c r="V1356" s="34"/>
    </row>
    <row r="1357" spans="4:22" s="2" customFormat="1" ht="27" customHeight="1" x14ac:dyDescent="0.3">
      <c r="D1357" s="23"/>
      <c r="O1357" s="98"/>
      <c r="U1357" s="34"/>
      <c r="V1357" s="34"/>
    </row>
    <row r="1358" spans="4:22" s="2" customFormat="1" ht="27" customHeight="1" x14ac:dyDescent="0.3">
      <c r="D1358" s="23"/>
      <c r="O1358" s="98"/>
      <c r="U1358" s="34"/>
      <c r="V1358" s="34"/>
    </row>
    <row r="1359" spans="4:22" s="2" customFormat="1" ht="27" customHeight="1" x14ac:dyDescent="0.3">
      <c r="D1359" s="23"/>
      <c r="O1359" s="98"/>
      <c r="U1359" s="34"/>
      <c r="V1359" s="34"/>
    </row>
    <row r="1360" spans="4:22" s="2" customFormat="1" ht="27" customHeight="1" x14ac:dyDescent="0.3">
      <c r="D1360" s="23"/>
      <c r="O1360" s="98"/>
      <c r="U1360" s="34"/>
      <c r="V1360" s="34"/>
    </row>
    <row r="1361" spans="4:22" s="2" customFormat="1" ht="27" customHeight="1" x14ac:dyDescent="0.3">
      <c r="D1361" s="23"/>
      <c r="O1361" s="98"/>
      <c r="U1361" s="34"/>
      <c r="V1361" s="34"/>
    </row>
    <row r="1362" spans="4:22" s="2" customFormat="1" ht="27" customHeight="1" x14ac:dyDescent="0.3">
      <c r="D1362" s="23"/>
      <c r="O1362" s="98"/>
      <c r="U1362" s="34"/>
      <c r="V1362" s="34"/>
    </row>
    <row r="1363" spans="4:22" s="2" customFormat="1" ht="27" customHeight="1" x14ac:dyDescent="0.3">
      <c r="D1363" s="23"/>
      <c r="O1363" s="98"/>
      <c r="U1363" s="34"/>
      <c r="V1363" s="34"/>
    </row>
    <row r="1364" spans="4:22" s="2" customFormat="1" ht="27" customHeight="1" x14ac:dyDescent="0.3">
      <c r="D1364" s="23"/>
      <c r="O1364" s="98"/>
      <c r="U1364" s="34"/>
      <c r="V1364" s="34"/>
    </row>
    <row r="1365" spans="4:22" s="2" customFormat="1" ht="27" customHeight="1" x14ac:dyDescent="0.3">
      <c r="D1365" s="23"/>
      <c r="O1365" s="98"/>
      <c r="U1365" s="34"/>
      <c r="V1365" s="34"/>
    </row>
    <row r="1366" spans="4:22" s="2" customFormat="1" ht="27" customHeight="1" x14ac:dyDescent="0.3">
      <c r="D1366" s="23"/>
      <c r="O1366" s="98"/>
      <c r="U1366" s="34"/>
      <c r="V1366" s="34"/>
    </row>
    <row r="1367" spans="4:22" s="2" customFormat="1" ht="27" customHeight="1" x14ac:dyDescent="0.3">
      <c r="D1367" s="23"/>
      <c r="O1367" s="98"/>
      <c r="U1367" s="34"/>
      <c r="V1367" s="34"/>
    </row>
    <row r="1368" spans="4:22" s="2" customFormat="1" ht="27" customHeight="1" x14ac:dyDescent="0.3">
      <c r="D1368" s="23"/>
      <c r="O1368" s="98"/>
      <c r="U1368" s="34"/>
      <c r="V1368" s="34"/>
    </row>
    <row r="1369" spans="4:22" s="2" customFormat="1" ht="27" customHeight="1" x14ac:dyDescent="0.3">
      <c r="D1369" s="23"/>
      <c r="O1369" s="98"/>
      <c r="U1369" s="34"/>
      <c r="V1369" s="34"/>
    </row>
    <row r="1370" spans="4:22" s="2" customFormat="1" ht="27" customHeight="1" x14ac:dyDescent="0.3">
      <c r="D1370" s="23"/>
      <c r="O1370" s="98"/>
      <c r="U1370" s="34"/>
      <c r="V1370" s="34"/>
    </row>
    <row r="1371" spans="4:22" s="2" customFormat="1" ht="27" customHeight="1" x14ac:dyDescent="0.3">
      <c r="D1371" s="23"/>
      <c r="O1371" s="98"/>
      <c r="U1371" s="34"/>
      <c r="V1371" s="34"/>
    </row>
    <row r="1372" spans="4:22" s="2" customFormat="1" ht="27" customHeight="1" x14ac:dyDescent="0.3">
      <c r="D1372" s="23"/>
      <c r="O1372" s="98"/>
      <c r="U1372" s="34"/>
      <c r="V1372" s="34"/>
    </row>
    <row r="1373" spans="4:22" s="2" customFormat="1" ht="27" customHeight="1" x14ac:dyDescent="0.3">
      <c r="D1373" s="23"/>
      <c r="O1373" s="98"/>
      <c r="U1373" s="34"/>
      <c r="V1373" s="34"/>
    </row>
    <row r="1374" spans="4:22" s="2" customFormat="1" ht="27" customHeight="1" x14ac:dyDescent="0.3">
      <c r="D1374" s="23"/>
      <c r="O1374" s="98"/>
      <c r="U1374" s="34"/>
      <c r="V1374" s="34"/>
    </row>
    <row r="1375" spans="4:22" s="2" customFormat="1" ht="27" customHeight="1" x14ac:dyDescent="0.3">
      <c r="D1375" s="23"/>
      <c r="O1375" s="98"/>
      <c r="U1375" s="34"/>
      <c r="V1375" s="34"/>
    </row>
    <row r="1376" spans="4:22" s="2" customFormat="1" ht="27" customHeight="1" x14ac:dyDescent="0.3">
      <c r="D1376" s="23"/>
      <c r="O1376" s="98"/>
      <c r="U1376" s="34"/>
      <c r="V1376" s="34"/>
    </row>
    <row r="1377" spans="4:22" s="2" customFormat="1" ht="27" customHeight="1" x14ac:dyDescent="0.3">
      <c r="D1377" s="23"/>
      <c r="O1377" s="98"/>
      <c r="U1377" s="34"/>
      <c r="V1377" s="34"/>
    </row>
    <row r="1378" spans="4:22" s="2" customFormat="1" ht="27" customHeight="1" x14ac:dyDescent="0.3">
      <c r="D1378" s="23"/>
      <c r="O1378" s="98"/>
      <c r="U1378" s="34"/>
      <c r="V1378" s="34"/>
    </row>
    <row r="1379" spans="4:22" s="2" customFormat="1" ht="27" customHeight="1" x14ac:dyDescent="0.3">
      <c r="D1379" s="23"/>
      <c r="O1379" s="98"/>
      <c r="U1379" s="34"/>
      <c r="V1379" s="34"/>
    </row>
    <row r="1380" spans="4:22" s="2" customFormat="1" ht="27" customHeight="1" x14ac:dyDescent="0.3">
      <c r="D1380" s="23"/>
      <c r="O1380" s="98"/>
      <c r="U1380" s="34"/>
      <c r="V1380" s="34"/>
    </row>
    <row r="1381" spans="4:22" s="2" customFormat="1" ht="27" customHeight="1" x14ac:dyDescent="0.3">
      <c r="D1381" s="23"/>
      <c r="O1381" s="98"/>
      <c r="U1381" s="34"/>
      <c r="V1381" s="34"/>
    </row>
    <row r="1382" spans="4:22" s="2" customFormat="1" ht="27" customHeight="1" x14ac:dyDescent="0.3">
      <c r="D1382" s="23"/>
      <c r="O1382" s="98"/>
      <c r="U1382" s="34"/>
      <c r="V1382" s="34"/>
    </row>
    <row r="1383" spans="4:22" s="2" customFormat="1" ht="27" customHeight="1" x14ac:dyDescent="0.3">
      <c r="D1383" s="23"/>
      <c r="O1383" s="98"/>
      <c r="U1383" s="34"/>
      <c r="V1383" s="34"/>
    </row>
    <row r="1384" spans="4:22" s="2" customFormat="1" ht="27" customHeight="1" x14ac:dyDescent="0.3">
      <c r="D1384" s="23"/>
      <c r="O1384" s="98"/>
      <c r="U1384" s="34"/>
      <c r="V1384" s="34"/>
    </row>
    <row r="1385" spans="4:22" s="2" customFormat="1" ht="27" customHeight="1" x14ac:dyDescent="0.3">
      <c r="D1385" s="23"/>
      <c r="O1385" s="98"/>
      <c r="U1385" s="34"/>
      <c r="V1385" s="34"/>
    </row>
    <row r="1386" spans="4:22" s="2" customFormat="1" ht="27" customHeight="1" x14ac:dyDescent="0.3">
      <c r="D1386" s="23"/>
      <c r="O1386" s="98"/>
      <c r="U1386" s="34"/>
      <c r="V1386" s="34"/>
    </row>
    <row r="1387" spans="4:22" s="2" customFormat="1" ht="27" customHeight="1" x14ac:dyDescent="0.3">
      <c r="D1387" s="23"/>
      <c r="O1387" s="98"/>
      <c r="U1387" s="34"/>
      <c r="V1387" s="34"/>
    </row>
    <row r="1388" spans="4:22" s="2" customFormat="1" ht="27" customHeight="1" x14ac:dyDescent="0.3">
      <c r="D1388" s="23"/>
      <c r="O1388" s="98"/>
      <c r="U1388" s="34"/>
      <c r="V1388" s="34"/>
    </row>
    <row r="1389" spans="4:22" s="2" customFormat="1" ht="27" customHeight="1" x14ac:dyDescent="0.3">
      <c r="D1389" s="23"/>
      <c r="O1389" s="98"/>
      <c r="U1389" s="34"/>
      <c r="V1389" s="34"/>
    </row>
    <row r="1390" spans="4:22" s="2" customFormat="1" ht="27" customHeight="1" x14ac:dyDescent="0.3">
      <c r="D1390" s="23"/>
      <c r="O1390" s="98"/>
      <c r="U1390" s="34"/>
      <c r="V1390" s="34"/>
    </row>
    <row r="1391" spans="4:22" s="2" customFormat="1" ht="27" customHeight="1" x14ac:dyDescent="0.3">
      <c r="D1391" s="23"/>
      <c r="O1391" s="98"/>
      <c r="U1391" s="34"/>
      <c r="V1391" s="34"/>
    </row>
    <row r="1392" spans="4:22" s="2" customFormat="1" ht="27" customHeight="1" x14ac:dyDescent="0.3">
      <c r="D1392" s="23"/>
      <c r="O1392" s="98"/>
      <c r="U1392" s="34"/>
      <c r="V1392" s="34"/>
    </row>
    <row r="1393" spans="4:22" s="2" customFormat="1" ht="27" customHeight="1" x14ac:dyDescent="0.3">
      <c r="D1393" s="23"/>
      <c r="O1393" s="98"/>
      <c r="U1393" s="34"/>
      <c r="V1393" s="34"/>
    </row>
    <row r="1394" spans="4:22" s="2" customFormat="1" ht="27" customHeight="1" x14ac:dyDescent="0.3">
      <c r="D1394" s="23"/>
      <c r="O1394" s="98"/>
      <c r="U1394" s="34"/>
      <c r="V1394" s="34"/>
    </row>
    <row r="1395" spans="4:22" s="2" customFormat="1" ht="27" customHeight="1" x14ac:dyDescent="0.3">
      <c r="D1395" s="23"/>
      <c r="O1395" s="98"/>
      <c r="U1395" s="34"/>
      <c r="V1395" s="34"/>
    </row>
    <row r="1396" spans="4:22" s="2" customFormat="1" ht="27" customHeight="1" x14ac:dyDescent="0.3">
      <c r="D1396" s="23"/>
      <c r="O1396" s="98"/>
      <c r="U1396" s="34"/>
      <c r="V1396" s="34"/>
    </row>
    <row r="1397" spans="4:22" s="2" customFormat="1" ht="27" customHeight="1" x14ac:dyDescent="0.3">
      <c r="D1397" s="23"/>
      <c r="O1397" s="98"/>
      <c r="U1397" s="34"/>
      <c r="V1397" s="34"/>
    </row>
    <row r="1398" spans="4:22" s="2" customFormat="1" ht="27" customHeight="1" x14ac:dyDescent="0.3">
      <c r="D1398" s="23"/>
      <c r="O1398" s="98"/>
      <c r="U1398" s="34"/>
      <c r="V1398" s="34"/>
    </row>
    <row r="1399" spans="4:22" s="2" customFormat="1" ht="27" customHeight="1" x14ac:dyDescent="0.3">
      <c r="D1399" s="23"/>
      <c r="O1399" s="98"/>
      <c r="U1399" s="34"/>
      <c r="V1399" s="34"/>
    </row>
    <row r="1400" spans="4:22" s="2" customFormat="1" ht="27" customHeight="1" x14ac:dyDescent="0.3">
      <c r="D1400" s="23"/>
      <c r="O1400" s="98"/>
      <c r="U1400" s="34"/>
      <c r="V1400" s="34"/>
    </row>
    <row r="1401" spans="4:22" s="2" customFormat="1" ht="27" customHeight="1" x14ac:dyDescent="0.3">
      <c r="D1401" s="23"/>
      <c r="O1401" s="98"/>
      <c r="U1401" s="34"/>
      <c r="V1401" s="34"/>
    </row>
    <row r="1402" spans="4:22" s="2" customFormat="1" ht="27" customHeight="1" x14ac:dyDescent="0.3">
      <c r="D1402" s="23"/>
      <c r="O1402" s="98"/>
      <c r="U1402" s="34"/>
      <c r="V1402" s="34"/>
    </row>
    <row r="1403" spans="4:22" s="2" customFormat="1" ht="27" customHeight="1" x14ac:dyDescent="0.3">
      <c r="D1403" s="23"/>
      <c r="O1403" s="98"/>
      <c r="U1403" s="34"/>
      <c r="V1403" s="34"/>
    </row>
    <row r="1404" spans="4:22" s="2" customFormat="1" ht="27" customHeight="1" x14ac:dyDescent="0.3">
      <c r="D1404" s="23"/>
      <c r="O1404" s="98"/>
      <c r="U1404" s="34"/>
      <c r="V1404" s="34"/>
    </row>
    <row r="1405" spans="4:22" s="2" customFormat="1" ht="27" customHeight="1" x14ac:dyDescent="0.3">
      <c r="D1405" s="23"/>
      <c r="O1405" s="98"/>
      <c r="U1405" s="34"/>
      <c r="V1405" s="34"/>
    </row>
    <row r="1406" spans="4:22" s="2" customFormat="1" ht="27" customHeight="1" x14ac:dyDescent="0.3">
      <c r="D1406" s="23"/>
      <c r="O1406" s="98"/>
      <c r="U1406" s="34"/>
      <c r="V1406" s="34"/>
    </row>
    <row r="1407" spans="4:22" s="2" customFormat="1" ht="27" customHeight="1" x14ac:dyDescent="0.3">
      <c r="D1407" s="23"/>
      <c r="O1407" s="98"/>
      <c r="U1407" s="34"/>
      <c r="V1407" s="34"/>
    </row>
    <row r="1408" spans="4:22" s="2" customFormat="1" ht="27" customHeight="1" x14ac:dyDescent="0.3">
      <c r="D1408" s="23"/>
      <c r="O1408" s="98"/>
      <c r="U1408" s="34"/>
      <c r="V1408" s="34"/>
    </row>
    <row r="1409" spans="4:22" s="2" customFormat="1" ht="27" customHeight="1" x14ac:dyDescent="0.3">
      <c r="D1409" s="23"/>
      <c r="O1409" s="98"/>
      <c r="U1409" s="34"/>
      <c r="V1409" s="34"/>
    </row>
    <row r="1410" spans="4:22" s="2" customFormat="1" ht="27" customHeight="1" x14ac:dyDescent="0.3">
      <c r="D1410" s="23"/>
      <c r="O1410" s="98"/>
      <c r="U1410" s="34"/>
      <c r="V1410" s="34"/>
    </row>
    <row r="1411" spans="4:22" s="2" customFormat="1" ht="27" customHeight="1" x14ac:dyDescent="0.3">
      <c r="D1411" s="23"/>
      <c r="O1411" s="98"/>
      <c r="U1411" s="34"/>
      <c r="V1411" s="34"/>
    </row>
    <row r="1412" spans="4:22" s="2" customFormat="1" ht="27" customHeight="1" x14ac:dyDescent="0.3">
      <c r="D1412" s="23"/>
      <c r="O1412" s="98"/>
      <c r="U1412" s="34"/>
      <c r="V1412" s="34"/>
    </row>
    <row r="1413" spans="4:22" s="2" customFormat="1" ht="27" customHeight="1" x14ac:dyDescent="0.3">
      <c r="D1413" s="23"/>
      <c r="O1413" s="98"/>
      <c r="U1413" s="34"/>
      <c r="V1413" s="34"/>
    </row>
    <row r="1414" spans="4:22" s="2" customFormat="1" ht="27" customHeight="1" x14ac:dyDescent="0.3">
      <c r="D1414" s="23"/>
      <c r="O1414" s="98"/>
      <c r="U1414" s="34"/>
      <c r="V1414" s="34"/>
    </row>
    <row r="1415" spans="4:22" s="2" customFormat="1" ht="27" customHeight="1" x14ac:dyDescent="0.3">
      <c r="D1415" s="23"/>
      <c r="O1415" s="98"/>
      <c r="U1415" s="34"/>
      <c r="V1415" s="34"/>
    </row>
    <row r="1416" spans="4:22" s="2" customFormat="1" ht="27" customHeight="1" x14ac:dyDescent="0.3">
      <c r="D1416" s="23"/>
      <c r="O1416" s="98"/>
      <c r="U1416" s="34"/>
      <c r="V1416" s="34"/>
    </row>
    <row r="1417" spans="4:22" s="2" customFormat="1" ht="27" customHeight="1" x14ac:dyDescent="0.3">
      <c r="D1417" s="23"/>
      <c r="O1417" s="98"/>
      <c r="U1417" s="34"/>
      <c r="V1417" s="34"/>
    </row>
    <row r="1418" spans="4:22" s="2" customFormat="1" ht="27" customHeight="1" x14ac:dyDescent="0.3">
      <c r="D1418" s="23"/>
      <c r="O1418" s="98"/>
      <c r="U1418" s="34"/>
      <c r="V1418" s="34"/>
    </row>
    <row r="1419" spans="4:22" s="2" customFormat="1" ht="27" customHeight="1" x14ac:dyDescent="0.3">
      <c r="D1419" s="23"/>
      <c r="O1419" s="98"/>
      <c r="U1419" s="34"/>
      <c r="V1419" s="34"/>
    </row>
    <row r="1420" spans="4:22" s="2" customFormat="1" ht="27" customHeight="1" x14ac:dyDescent="0.3">
      <c r="D1420" s="23"/>
      <c r="O1420" s="98"/>
      <c r="U1420" s="34"/>
      <c r="V1420" s="34"/>
    </row>
    <row r="1421" spans="4:22" s="2" customFormat="1" ht="27" customHeight="1" x14ac:dyDescent="0.3">
      <c r="D1421" s="23"/>
      <c r="O1421" s="98"/>
      <c r="U1421" s="34"/>
      <c r="V1421" s="34"/>
    </row>
    <row r="1422" spans="4:22" s="2" customFormat="1" ht="27" customHeight="1" x14ac:dyDescent="0.3">
      <c r="D1422" s="23"/>
      <c r="O1422" s="98"/>
      <c r="U1422" s="34"/>
      <c r="V1422" s="34"/>
    </row>
    <row r="1423" spans="4:22" s="2" customFormat="1" ht="27" customHeight="1" x14ac:dyDescent="0.3">
      <c r="D1423" s="23"/>
      <c r="O1423" s="98"/>
      <c r="U1423" s="34"/>
      <c r="V1423" s="34"/>
    </row>
    <row r="1424" spans="4:22" s="2" customFormat="1" ht="27" customHeight="1" x14ac:dyDescent="0.3">
      <c r="D1424" s="23"/>
      <c r="O1424" s="98"/>
      <c r="U1424" s="34"/>
      <c r="V1424" s="34"/>
    </row>
    <row r="1425" spans="4:22" s="2" customFormat="1" ht="27" customHeight="1" x14ac:dyDescent="0.3">
      <c r="D1425" s="23"/>
      <c r="O1425" s="98"/>
      <c r="U1425" s="34"/>
      <c r="V1425" s="34"/>
    </row>
    <row r="1426" spans="4:22" s="2" customFormat="1" ht="27" customHeight="1" x14ac:dyDescent="0.3">
      <c r="D1426" s="23"/>
      <c r="O1426" s="98"/>
      <c r="U1426" s="34"/>
      <c r="V1426" s="34"/>
    </row>
    <row r="1427" spans="4:22" s="2" customFormat="1" ht="27" customHeight="1" x14ac:dyDescent="0.3">
      <c r="D1427" s="23"/>
      <c r="O1427" s="98"/>
      <c r="U1427" s="34"/>
      <c r="V1427" s="34"/>
    </row>
    <row r="1428" spans="4:22" s="2" customFormat="1" ht="27" customHeight="1" x14ac:dyDescent="0.3">
      <c r="D1428" s="23"/>
      <c r="O1428" s="98"/>
      <c r="U1428" s="34"/>
      <c r="V1428" s="34"/>
    </row>
    <row r="1429" spans="4:22" s="2" customFormat="1" ht="27" customHeight="1" x14ac:dyDescent="0.3">
      <c r="D1429" s="23"/>
      <c r="O1429" s="98"/>
      <c r="U1429" s="34"/>
      <c r="V1429" s="34"/>
    </row>
    <row r="1430" spans="4:22" s="2" customFormat="1" ht="27" customHeight="1" x14ac:dyDescent="0.3">
      <c r="D1430" s="23"/>
      <c r="O1430" s="98"/>
      <c r="U1430" s="34"/>
      <c r="V1430" s="34"/>
    </row>
    <row r="1431" spans="4:22" s="2" customFormat="1" ht="27" customHeight="1" x14ac:dyDescent="0.3">
      <c r="D1431" s="23"/>
      <c r="O1431" s="98"/>
      <c r="U1431" s="34"/>
      <c r="V1431" s="34"/>
    </row>
    <row r="1432" spans="4:22" s="2" customFormat="1" ht="27" customHeight="1" x14ac:dyDescent="0.3">
      <c r="D1432" s="23"/>
      <c r="O1432" s="98"/>
      <c r="U1432" s="34"/>
      <c r="V1432" s="34"/>
    </row>
  </sheetData>
  <autoFilter ref="A7:U7" xr:uid="{00000000-0009-0000-0000-000001000000}"/>
  <mergeCells count="1">
    <mergeCell ref="D6:D7"/>
  </mergeCells>
  <phoneticPr fontId="2" type="noConversion"/>
  <conditionalFormatting sqref="D1:D5">
    <cfRule type="duplicateValues" dxfId="51" priority="92" stopIfTrue="1"/>
    <cfRule type="duplicateValues" dxfId="50" priority="93" stopIfTrue="1"/>
    <cfRule type="duplicateValues" dxfId="49" priority="94" stopIfTrue="1"/>
    <cfRule type="duplicateValues" dxfId="48" priority="95" stopIfTrue="1"/>
  </conditionalFormatting>
  <conditionalFormatting sqref="D2:D5">
    <cfRule type="duplicateValues" dxfId="47" priority="91" stopIfTrue="1"/>
  </conditionalFormatting>
  <conditionalFormatting sqref="D8:D10">
    <cfRule type="duplicateValues" dxfId="46" priority="2852"/>
  </conditionalFormatting>
  <conditionalFormatting sqref="D11:D1048576 D1:D7">
    <cfRule type="duplicateValues" dxfId="45" priority="98"/>
  </conditionalFormatting>
  <conditionalFormatting sqref="E6:E7">
    <cfRule type="duplicateValues" dxfId="44" priority="2853" stopIfTrue="1"/>
  </conditionalFormatting>
  <conditionalFormatting sqref="E8:E10">
    <cfRule type="duplicateValues" dxfId="43" priority="2850"/>
    <cfRule type="duplicateValues" dxfId="42" priority="2851" stopIfTrue="1"/>
  </conditionalFormatting>
  <conditionalFormatting sqref="E11:E1048576 E1 E3:E7">
    <cfRule type="duplicateValues" dxfId="41" priority="97"/>
  </conditionalFormatting>
  <conditionalFormatting sqref="E11:E1048576 E1:E7">
    <cfRule type="duplicateValues" dxfId="40" priority="89"/>
  </conditionalFormatting>
  <conditionalFormatting sqref="E11:E1048576">
    <cfRule type="duplicateValues" dxfId="39" priority="96"/>
  </conditionalFormatting>
  <pageMargins left="0.7" right="0.7" top="0.75" bottom="0.75" header="0.3" footer="0.3"/>
  <pageSetup paperSize="9" scale="1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436"/>
  <sheetViews>
    <sheetView showGridLines="0" zoomScale="70" zoomScaleNormal="70" zoomScaleSheetLayoutView="70" workbookViewId="0">
      <pane xSplit="5" ySplit="8" topLeftCell="F9" activePane="bottomRight" state="frozen"/>
      <selection pane="topRight" activeCell="G1" sqref="G1"/>
      <selection pane="bottomLeft" activeCell="A9" sqref="A9"/>
      <selection pane="bottomRight" activeCell="G15" sqref="G15"/>
    </sheetView>
  </sheetViews>
  <sheetFormatPr defaultColWidth="9" defaultRowHeight="27" customHeight="1" x14ac:dyDescent="0.3"/>
  <cols>
    <col min="1" max="1" width="10.875" style="3" bestFit="1" customWidth="1"/>
    <col min="2" max="2" width="11.875" style="3" customWidth="1"/>
    <col min="3" max="3" width="11.125" style="3" customWidth="1"/>
    <col min="4" max="4" width="23.75" style="24" customWidth="1"/>
    <col min="5" max="5" width="25.875" style="3" customWidth="1"/>
    <col min="6" max="7" width="10.75" style="3" customWidth="1"/>
    <col min="8" max="8" width="19.375" style="3" customWidth="1"/>
    <col min="9" max="9" width="10.75" style="3" customWidth="1"/>
    <col min="10" max="14" width="10.75" style="25" customWidth="1"/>
    <col min="15" max="26" width="10.75" style="3" customWidth="1"/>
    <col min="27" max="27" width="13.125" style="2" customWidth="1"/>
    <col min="28" max="28" width="16.125" style="3" customWidth="1"/>
    <col min="29" max="29" width="11.75" style="3" customWidth="1"/>
    <col min="30" max="30" width="14" style="3" customWidth="1"/>
    <col min="31" max="31" width="11.75" style="3" customWidth="1"/>
    <col min="32" max="33" width="16.625" style="35" customWidth="1"/>
    <col min="34" max="16384" width="9" style="3"/>
  </cols>
  <sheetData>
    <row r="1" spans="1:34" s="13" customFormat="1" ht="24.95" customHeight="1" x14ac:dyDescent="0.3">
      <c r="B1" s="15"/>
      <c r="C1" s="36" t="s">
        <v>139</v>
      </c>
      <c r="D1" s="4"/>
      <c r="E1" s="5"/>
      <c r="F1" s="6"/>
      <c r="G1" s="4"/>
      <c r="H1" s="41" t="s">
        <v>138</v>
      </c>
      <c r="I1" s="14"/>
      <c r="O1" s="38"/>
      <c r="P1" s="40"/>
      <c r="Q1" s="39"/>
      <c r="R1" s="16"/>
      <c r="S1" s="16"/>
      <c r="T1" s="16"/>
      <c r="U1" s="16"/>
      <c r="V1" s="16"/>
      <c r="W1" s="16"/>
      <c r="X1" s="16"/>
      <c r="Y1" s="16"/>
      <c r="Z1" s="16"/>
      <c r="AA1" s="29"/>
    </row>
    <row r="2" spans="1:34" s="13" customFormat="1" ht="24.95" customHeight="1" x14ac:dyDescent="0.3">
      <c r="B2" s="15"/>
      <c r="C2" s="37" t="s">
        <v>1046</v>
      </c>
      <c r="D2" s="7"/>
      <c r="E2" s="8"/>
      <c r="G2" s="17"/>
      <c r="H2" s="16"/>
      <c r="P2" s="43"/>
      <c r="AA2" s="29"/>
      <c r="AB2" s="31"/>
      <c r="AC2" s="32"/>
    </row>
    <row r="3" spans="1:34" s="13" customFormat="1" ht="24.95" customHeight="1" x14ac:dyDescent="0.3">
      <c r="B3" s="15"/>
      <c r="C3" s="37" t="s">
        <v>1</v>
      </c>
      <c r="D3" s="7"/>
      <c r="E3" s="5"/>
      <c r="F3" s="8"/>
      <c r="G3" s="17"/>
      <c r="H3" s="16"/>
      <c r="I3" s="9"/>
      <c r="O3" s="18"/>
      <c r="P3" s="18"/>
      <c r="R3" s="19"/>
      <c r="S3" s="19"/>
      <c r="T3" s="19"/>
      <c r="U3" s="19"/>
      <c r="V3" s="19"/>
      <c r="W3" s="19"/>
      <c r="X3" s="19"/>
      <c r="Y3" s="19"/>
      <c r="Z3" s="19"/>
      <c r="AA3" s="29"/>
      <c r="AB3" s="31"/>
      <c r="AC3" s="32"/>
    </row>
    <row r="4" spans="1:34" s="13" customFormat="1" ht="24.95" customHeight="1" x14ac:dyDescent="0.3">
      <c r="B4" s="15"/>
      <c r="C4" s="37" t="s">
        <v>1047</v>
      </c>
      <c r="D4" s="7"/>
      <c r="E4" s="5"/>
      <c r="F4" s="33"/>
      <c r="G4" s="17"/>
      <c r="H4" s="16"/>
      <c r="I4" s="9"/>
      <c r="O4" s="18"/>
      <c r="P4" s="18"/>
      <c r="R4" s="19"/>
      <c r="S4" s="19"/>
      <c r="T4" s="19"/>
      <c r="U4" s="19"/>
      <c r="V4" s="19"/>
      <c r="W4" s="19"/>
      <c r="X4" s="19"/>
      <c r="Y4" s="19"/>
      <c r="Z4" s="19"/>
      <c r="AA4" s="29"/>
    </row>
    <row r="5" spans="1:34" s="13" customFormat="1" ht="38.25" x14ac:dyDescent="0.3">
      <c r="B5" s="15"/>
      <c r="C5" s="20"/>
      <c r="D5" s="44" t="s">
        <v>38</v>
      </c>
      <c r="E5" s="45"/>
      <c r="F5" s="46"/>
      <c r="G5" s="47"/>
      <c r="H5" s="48"/>
      <c r="I5" s="48"/>
      <c r="J5" s="49"/>
      <c r="K5" s="49"/>
      <c r="L5" s="49"/>
      <c r="M5" s="49"/>
      <c r="N5" s="49"/>
      <c r="O5" s="50"/>
      <c r="P5" s="50"/>
      <c r="Q5" s="29"/>
      <c r="R5" s="51"/>
      <c r="S5" s="51"/>
      <c r="T5" s="51"/>
      <c r="U5" s="51"/>
      <c r="V5" s="51"/>
      <c r="W5" s="51"/>
      <c r="X5" s="51"/>
      <c r="Y5" s="51"/>
      <c r="Z5" s="51"/>
      <c r="AA5" s="29"/>
    </row>
    <row r="6" spans="1:34" s="21" customFormat="1" ht="27" customHeight="1" x14ac:dyDescent="0.3">
      <c r="B6" s="1"/>
      <c r="C6" s="1"/>
      <c r="D6" s="100" t="s">
        <v>2</v>
      </c>
      <c r="E6" s="10" t="s">
        <v>3</v>
      </c>
      <c r="F6" s="11" t="s">
        <v>1049</v>
      </c>
      <c r="G6" s="11" t="s">
        <v>1050</v>
      </c>
      <c r="H6" s="11" t="s">
        <v>1051</v>
      </c>
      <c r="I6" s="11" t="s">
        <v>1052</v>
      </c>
      <c r="J6" s="11" t="s">
        <v>1053</v>
      </c>
      <c r="K6" s="11" t="s">
        <v>1054</v>
      </c>
      <c r="L6" s="11" t="s">
        <v>1055</v>
      </c>
      <c r="M6" s="11" t="s">
        <v>1056</v>
      </c>
      <c r="N6" s="11" t="s">
        <v>1057</v>
      </c>
      <c r="O6" s="11" t="s">
        <v>1058</v>
      </c>
      <c r="P6" s="11" t="s">
        <v>41</v>
      </c>
      <c r="Q6" s="11" t="s">
        <v>43</v>
      </c>
      <c r="R6" s="11" t="s">
        <v>1059</v>
      </c>
      <c r="S6" s="11" t="s">
        <v>1060</v>
      </c>
      <c r="T6" s="11" t="s">
        <v>45</v>
      </c>
      <c r="U6" s="11" t="s">
        <v>46</v>
      </c>
      <c r="V6" s="11" t="s">
        <v>1061</v>
      </c>
      <c r="W6" s="11" t="s">
        <v>1062</v>
      </c>
      <c r="X6" s="11" t="s">
        <v>1063</v>
      </c>
      <c r="Y6" s="11" t="s">
        <v>1064</v>
      </c>
      <c r="Z6" s="11" t="s">
        <v>1065</v>
      </c>
      <c r="AC6" s="32" t="s">
        <v>28</v>
      </c>
      <c r="AG6" s="1"/>
      <c r="AH6" s="1"/>
    </row>
    <row r="7" spans="1:34" s="21" customFormat="1" ht="20.100000000000001" customHeight="1" x14ac:dyDescent="0.3">
      <c r="B7" s="1"/>
      <c r="C7" s="1"/>
      <c r="D7" s="100"/>
      <c r="E7" s="10" t="s">
        <v>1048</v>
      </c>
      <c r="F7" s="11" t="s">
        <v>37</v>
      </c>
      <c r="G7" s="11" t="s">
        <v>1066</v>
      </c>
      <c r="H7" s="11" t="s">
        <v>1067</v>
      </c>
      <c r="I7" s="11">
        <v>20</v>
      </c>
      <c r="J7" s="11">
        <v>250</v>
      </c>
      <c r="K7" s="11">
        <v>0.01</v>
      </c>
      <c r="L7" s="11">
        <v>0.05</v>
      </c>
      <c r="M7" s="11">
        <v>1E-3</v>
      </c>
      <c r="N7" s="11">
        <v>0.1</v>
      </c>
      <c r="O7" s="11">
        <v>0.05</v>
      </c>
      <c r="P7" s="11">
        <v>0.01</v>
      </c>
      <c r="Q7" s="11">
        <v>5.0000000000000001E-3</v>
      </c>
      <c r="R7" s="11">
        <v>0.02</v>
      </c>
      <c r="S7" s="11">
        <v>0.06</v>
      </c>
      <c r="T7" s="11">
        <v>0.03</v>
      </c>
      <c r="U7" s="11">
        <v>0.01</v>
      </c>
      <c r="V7" s="11">
        <v>0.15</v>
      </c>
      <c r="W7" s="11">
        <v>1.4999999999999999E-2</v>
      </c>
      <c r="X7" s="11">
        <v>1</v>
      </c>
      <c r="Y7" s="11">
        <v>0.45</v>
      </c>
      <c r="Z7" s="11">
        <v>0.75</v>
      </c>
      <c r="AA7" s="26" t="s">
        <v>24</v>
      </c>
      <c r="AC7" s="32" t="s">
        <v>29</v>
      </c>
      <c r="AG7" s="1"/>
      <c r="AH7" s="1"/>
    </row>
    <row r="8" spans="1:34" s="21" customFormat="1" ht="39" customHeight="1" x14ac:dyDescent="0.3">
      <c r="A8" s="12" t="s">
        <v>19</v>
      </c>
      <c r="B8" s="22" t="s">
        <v>20</v>
      </c>
      <c r="C8" s="22" t="s">
        <v>21</v>
      </c>
      <c r="D8" s="101"/>
      <c r="E8" s="52" t="s">
        <v>17</v>
      </c>
      <c r="F8" s="87" t="s">
        <v>1068</v>
      </c>
      <c r="G8" s="87" t="s">
        <v>37</v>
      </c>
      <c r="H8" s="87" t="s">
        <v>1069</v>
      </c>
      <c r="I8" s="87" t="s">
        <v>1068</v>
      </c>
      <c r="J8" s="87" t="s">
        <v>1068</v>
      </c>
      <c r="K8" s="87" t="s">
        <v>1068</v>
      </c>
      <c r="L8" s="87" t="s">
        <v>1068</v>
      </c>
      <c r="M8" s="87" t="s">
        <v>1068</v>
      </c>
      <c r="N8" s="87" t="s">
        <v>1068</v>
      </c>
      <c r="O8" s="87" t="s">
        <v>1068</v>
      </c>
      <c r="P8" s="87" t="s">
        <v>1068</v>
      </c>
      <c r="Q8" s="87" t="s">
        <v>1068</v>
      </c>
      <c r="R8" s="87" t="s">
        <v>1068</v>
      </c>
      <c r="S8" s="87" t="s">
        <v>1068</v>
      </c>
      <c r="T8" s="87" t="s">
        <v>1068</v>
      </c>
      <c r="U8" s="87" t="s">
        <v>1068</v>
      </c>
      <c r="V8" s="87" t="s">
        <v>1068</v>
      </c>
      <c r="W8" s="87" t="s">
        <v>1068</v>
      </c>
      <c r="X8" s="87" t="s">
        <v>1068</v>
      </c>
      <c r="Y8" s="87" t="s">
        <v>1068</v>
      </c>
      <c r="Z8" s="87" t="s">
        <v>1068</v>
      </c>
      <c r="AA8" s="28" t="s">
        <v>25</v>
      </c>
      <c r="AB8" s="30" t="s">
        <v>26</v>
      </c>
      <c r="AC8" s="55" t="s">
        <v>31</v>
      </c>
      <c r="AD8" s="55" t="s">
        <v>32</v>
      </c>
      <c r="AE8" s="55" t="s">
        <v>33</v>
      </c>
      <c r="AF8" s="56" t="s">
        <v>30</v>
      </c>
      <c r="AG8" s="1" t="s">
        <v>34</v>
      </c>
      <c r="AH8" s="1" t="s">
        <v>35</v>
      </c>
    </row>
    <row r="9" spans="1:34" s="2" customFormat="1" ht="16.5" x14ac:dyDescent="0.3">
      <c r="A9" s="27">
        <v>46036</v>
      </c>
      <c r="B9" s="27">
        <v>46035</v>
      </c>
      <c r="C9" s="21" t="s">
        <v>49</v>
      </c>
      <c r="D9" s="57" t="s">
        <v>1070</v>
      </c>
      <c r="E9" s="58" t="s">
        <v>1073</v>
      </c>
      <c r="F9" s="57" t="s">
        <v>140</v>
      </c>
      <c r="G9" s="58">
        <v>6.4</v>
      </c>
      <c r="H9" s="57">
        <v>11</v>
      </c>
      <c r="I9" s="58">
        <v>0.5</v>
      </c>
      <c r="J9" s="58">
        <v>9.5</v>
      </c>
      <c r="K9" s="57" t="s">
        <v>140</v>
      </c>
      <c r="L9" s="57" t="s">
        <v>140</v>
      </c>
      <c r="M9" s="57" t="s">
        <v>140</v>
      </c>
      <c r="N9" s="57" t="s">
        <v>140</v>
      </c>
      <c r="O9" s="57" t="s">
        <v>140</v>
      </c>
      <c r="P9" s="57" t="s">
        <v>140</v>
      </c>
      <c r="Q9" s="57" t="s">
        <v>140</v>
      </c>
      <c r="R9" s="57" t="s">
        <v>457</v>
      </c>
      <c r="S9" s="57" t="s">
        <v>457</v>
      </c>
      <c r="T9" s="57" t="s">
        <v>457</v>
      </c>
      <c r="U9" s="57" t="s">
        <v>457</v>
      </c>
      <c r="V9" s="57" t="s">
        <v>457</v>
      </c>
      <c r="W9" s="57" t="s">
        <v>457</v>
      </c>
      <c r="X9" s="57" t="s">
        <v>457</v>
      </c>
      <c r="Y9" s="57" t="s">
        <v>457</v>
      </c>
      <c r="Z9" s="57" t="s">
        <v>457</v>
      </c>
      <c r="AA9" s="59">
        <f>B9+14</f>
        <v>46049</v>
      </c>
      <c r="AB9" s="57"/>
      <c r="AC9" s="59">
        <v>46043</v>
      </c>
      <c r="AD9" s="59">
        <v>46045</v>
      </c>
      <c r="AE9" s="59">
        <v>46048</v>
      </c>
      <c r="AF9" s="59"/>
      <c r="AG9" s="34"/>
      <c r="AH9" s="34"/>
    </row>
    <row r="10" spans="1:34" s="2" customFormat="1" ht="16.5" x14ac:dyDescent="0.3">
      <c r="A10" s="27">
        <v>46036</v>
      </c>
      <c r="B10" s="27">
        <v>46035</v>
      </c>
      <c r="C10" s="21" t="s">
        <v>49</v>
      </c>
      <c r="D10" s="57" t="s">
        <v>1076</v>
      </c>
      <c r="E10" s="58" t="s">
        <v>1077</v>
      </c>
      <c r="F10" s="57" t="s">
        <v>140</v>
      </c>
      <c r="G10" s="58">
        <v>6.5</v>
      </c>
      <c r="H10" s="57">
        <v>12</v>
      </c>
      <c r="I10" s="58">
        <v>0.5</v>
      </c>
      <c r="J10" s="58">
        <v>9.6999999999999993</v>
      </c>
      <c r="K10" s="57" t="s">
        <v>140</v>
      </c>
      <c r="L10" s="57" t="s">
        <v>140</v>
      </c>
      <c r="M10" s="57" t="s">
        <v>140</v>
      </c>
      <c r="N10" s="57" t="s">
        <v>140</v>
      </c>
      <c r="O10" s="57" t="s">
        <v>140</v>
      </c>
      <c r="P10" s="57" t="s">
        <v>140</v>
      </c>
      <c r="Q10" s="57" t="s">
        <v>140</v>
      </c>
      <c r="R10" s="57" t="s">
        <v>457</v>
      </c>
      <c r="S10" s="57" t="s">
        <v>457</v>
      </c>
      <c r="T10" s="57" t="s">
        <v>457</v>
      </c>
      <c r="U10" s="57" t="s">
        <v>457</v>
      </c>
      <c r="V10" s="57" t="s">
        <v>457</v>
      </c>
      <c r="W10" s="57" t="s">
        <v>457</v>
      </c>
      <c r="X10" s="57" t="s">
        <v>457</v>
      </c>
      <c r="Y10" s="57" t="s">
        <v>457</v>
      </c>
      <c r="Z10" s="57" t="s">
        <v>457</v>
      </c>
      <c r="AA10" s="59">
        <f>B10+14</f>
        <v>46049</v>
      </c>
      <c r="AB10" s="57"/>
      <c r="AC10" s="59">
        <v>46043</v>
      </c>
      <c r="AD10" s="59">
        <v>46045</v>
      </c>
      <c r="AE10" s="59">
        <v>46048</v>
      </c>
      <c r="AF10" s="59"/>
      <c r="AG10" s="34"/>
      <c r="AH10" s="34"/>
    </row>
    <row r="11" spans="1:34" s="2" customFormat="1" ht="16.5" x14ac:dyDescent="0.3">
      <c r="A11" s="27">
        <v>46036</v>
      </c>
      <c r="B11" s="27">
        <v>46035</v>
      </c>
      <c r="C11" s="21" t="s">
        <v>49</v>
      </c>
      <c r="D11" s="57" t="s">
        <v>1071</v>
      </c>
      <c r="E11" s="58" t="s">
        <v>1074</v>
      </c>
      <c r="F11" s="57" t="s">
        <v>140</v>
      </c>
      <c r="G11" s="61">
        <v>7</v>
      </c>
      <c r="H11" s="57">
        <v>1400</v>
      </c>
      <c r="I11" s="58">
        <v>1.6</v>
      </c>
      <c r="J11" s="58">
        <v>15.4</v>
      </c>
      <c r="K11" s="57" t="s">
        <v>140</v>
      </c>
      <c r="L11" s="57" t="s">
        <v>140</v>
      </c>
      <c r="M11" s="57" t="s">
        <v>140</v>
      </c>
      <c r="N11" s="57" t="s">
        <v>140</v>
      </c>
      <c r="O11" s="57" t="s">
        <v>140</v>
      </c>
      <c r="P11" s="57" t="s">
        <v>140</v>
      </c>
      <c r="Q11" s="57" t="s">
        <v>140</v>
      </c>
      <c r="R11" s="57" t="s">
        <v>457</v>
      </c>
      <c r="S11" s="57" t="s">
        <v>457</v>
      </c>
      <c r="T11" s="57" t="s">
        <v>457</v>
      </c>
      <c r="U11" s="57" t="s">
        <v>457</v>
      </c>
      <c r="V11" s="57" t="s">
        <v>457</v>
      </c>
      <c r="W11" s="57" t="s">
        <v>457</v>
      </c>
      <c r="X11" s="57" t="s">
        <v>457</v>
      </c>
      <c r="Y11" s="57" t="s">
        <v>457</v>
      </c>
      <c r="Z11" s="57" t="s">
        <v>457</v>
      </c>
      <c r="AA11" s="59">
        <f>B11+14</f>
        <v>46049</v>
      </c>
      <c r="AB11" s="57"/>
      <c r="AC11" s="59">
        <v>46043</v>
      </c>
      <c r="AD11" s="59">
        <v>46045</v>
      </c>
      <c r="AE11" s="59">
        <v>46048</v>
      </c>
      <c r="AF11" s="59"/>
      <c r="AG11" s="34"/>
      <c r="AH11" s="34"/>
    </row>
    <row r="12" spans="1:34" s="2" customFormat="1" ht="16.5" x14ac:dyDescent="0.3">
      <c r="A12" s="27">
        <v>46036</v>
      </c>
      <c r="B12" s="27">
        <v>46035</v>
      </c>
      <c r="C12" s="21" t="s">
        <v>49</v>
      </c>
      <c r="D12" s="57" t="s">
        <v>1072</v>
      </c>
      <c r="E12" s="58" t="s">
        <v>1075</v>
      </c>
      <c r="F12" s="57" t="s">
        <v>140</v>
      </c>
      <c r="G12" s="58">
        <v>7.2</v>
      </c>
      <c r="H12" s="57">
        <v>1300</v>
      </c>
      <c r="I12" s="58">
        <v>0.9</v>
      </c>
      <c r="J12" s="58">
        <v>4.9000000000000004</v>
      </c>
      <c r="K12" s="57" t="s">
        <v>140</v>
      </c>
      <c r="L12" s="57" t="s">
        <v>140</v>
      </c>
      <c r="M12" s="57" t="s">
        <v>140</v>
      </c>
      <c r="N12" s="57" t="s">
        <v>140</v>
      </c>
      <c r="O12" s="57" t="s">
        <v>140</v>
      </c>
      <c r="P12" s="57" t="s">
        <v>140</v>
      </c>
      <c r="Q12" s="57" t="s">
        <v>140</v>
      </c>
      <c r="R12" s="57" t="s">
        <v>457</v>
      </c>
      <c r="S12" s="57" t="s">
        <v>457</v>
      </c>
      <c r="T12" s="57" t="s">
        <v>457</v>
      </c>
      <c r="U12" s="57" t="s">
        <v>457</v>
      </c>
      <c r="V12" s="57" t="s">
        <v>457</v>
      </c>
      <c r="W12" s="57" t="s">
        <v>457</v>
      </c>
      <c r="X12" s="57" t="s">
        <v>457</v>
      </c>
      <c r="Y12" s="57" t="s">
        <v>457</v>
      </c>
      <c r="Z12" s="57" t="s">
        <v>457</v>
      </c>
      <c r="AA12" s="59">
        <f t="shared" ref="AA12" si="0">B12+14</f>
        <v>46049</v>
      </c>
      <c r="AB12" s="57"/>
      <c r="AC12" s="59">
        <v>46043</v>
      </c>
      <c r="AD12" s="59">
        <v>46045</v>
      </c>
      <c r="AE12" s="59">
        <v>46048</v>
      </c>
      <c r="AF12" s="59"/>
      <c r="AG12" s="34"/>
      <c r="AH12" s="34"/>
    </row>
    <row r="13" spans="1:34" s="2" customFormat="1" ht="16.5" x14ac:dyDescent="0.3">
      <c r="A13" s="27">
        <v>46036</v>
      </c>
      <c r="B13" s="27">
        <v>46035</v>
      </c>
      <c r="C13" s="21" t="s">
        <v>49</v>
      </c>
      <c r="D13" s="57" t="s">
        <v>1078</v>
      </c>
      <c r="E13" s="58" t="s">
        <v>1080</v>
      </c>
      <c r="F13" s="57" t="s">
        <v>140</v>
      </c>
      <c r="G13" s="58">
        <v>7.5</v>
      </c>
      <c r="H13" s="57" t="s">
        <v>1082</v>
      </c>
      <c r="I13" s="57" t="s">
        <v>457</v>
      </c>
      <c r="J13" s="58">
        <v>0.3</v>
      </c>
      <c r="K13" s="57" t="s">
        <v>140</v>
      </c>
      <c r="L13" s="57" t="s">
        <v>140</v>
      </c>
      <c r="M13" s="57" t="s">
        <v>140</v>
      </c>
      <c r="N13" s="57" t="s">
        <v>140</v>
      </c>
      <c r="O13" s="57" t="s">
        <v>140</v>
      </c>
      <c r="P13" s="57" t="s">
        <v>140</v>
      </c>
      <c r="Q13" s="57" t="s">
        <v>140</v>
      </c>
      <c r="R13" s="57" t="s">
        <v>457</v>
      </c>
      <c r="S13" s="57" t="s">
        <v>457</v>
      </c>
      <c r="T13" s="57" t="s">
        <v>457</v>
      </c>
      <c r="U13" s="57" t="s">
        <v>457</v>
      </c>
      <c r="V13" s="57" t="s">
        <v>457</v>
      </c>
      <c r="W13" s="57" t="s">
        <v>457</v>
      </c>
      <c r="X13" s="57" t="s">
        <v>457</v>
      </c>
      <c r="Y13" s="57" t="s">
        <v>457</v>
      </c>
      <c r="Z13" s="57" t="s">
        <v>457</v>
      </c>
      <c r="AA13" s="59">
        <f t="shared" ref="AA13:AA14" si="1">B13+14</f>
        <v>46049</v>
      </c>
      <c r="AB13" s="57"/>
      <c r="AC13" s="59">
        <v>46043</v>
      </c>
      <c r="AD13" s="59">
        <v>46045</v>
      </c>
      <c r="AE13" s="59">
        <v>46048</v>
      </c>
      <c r="AF13" s="59"/>
      <c r="AG13" s="34"/>
      <c r="AH13" s="34"/>
    </row>
    <row r="14" spans="1:34" s="2" customFormat="1" ht="16.5" x14ac:dyDescent="0.3">
      <c r="A14" s="27">
        <v>46036</v>
      </c>
      <c r="B14" s="27">
        <v>46035</v>
      </c>
      <c r="C14" s="21" t="s">
        <v>49</v>
      </c>
      <c r="D14" s="57" t="s">
        <v>1079</v>
      </c>
      <c r="E14" s="58" t="s">
        <v>1081</v>
      </c>
      <c r="F14" s="57" t="s">
        <v>140</v>
      </c>
      <c r="G14" s="58">
        <v>7.2</v>
      </c>
      <c r="H14" s="57" t="s">
        <v>1082</v>
      </c>
      <c r="I14" s="57" t="s">
        <v>457</v>
      </c>
      <c r="J14" s="58">
        <v>0.4</v>
      </c>
      <c r="K14" s="57" t="s">
        <v>140</v>
      </c>
      <c r="L14" s="57" t="s">
        <v>140</v>
      </c>
      <c r="M14" s="57" t="s">
        <v>140</v>
      </c>
      <c r="N14" s="57" t="s">
        <v>140</v>
      </c>
      <c r="O14" s="57" t="s">
        <v>140</v>
      </c>
      <c r="P14" s="57" t="s">
        <v>140</v>
      </c>
      <c r="Q14" s="57" t="s">
        <v>140</v>
      </c>
      <c r="R14" s="57" t="s">
        <v>457</v>
      </c>
      <c r="S14" s="57" t="s">
        <v>457</v>
      </c>
      <c r="T14" s="57" t="s">
        <v>457</v>
      </c>
      <c r="U14" s="57" t="s">
        <v>457</v>
      </c>
      <c r="V14" s="57" t="s">
        <v>457</v>
      </c>
      <c r="W14" s="57" t="s">
        <v>457</v>
      </c>
      <c r="X14" s="57" t="s">
        <v>457</v>
      </c>
      <c r="Y14" s="57" t="s">
        <v>457</v>
      </c>
      <c r="Z14" s="57" t="s">
        <v>457</v>
      </c>
      <c r="AA14" s="59">
        <f t="shared" si="1"/>
        <v>46049</v>
      </c>
      <c r="AB14" s="57"/>
      <c r="AC14" s="59">
        <v>46043</v>
      </c>
      <c r="AD14" s="59">
        <v>46045</v>
      </c>
      <c r="AE14" s="59">
        <v>46048</v>
      </c>
      <c r="AF14" s="59"/>
      <c r="AG14" s="34"/>
      <c r="AH14" s="34"/>
    </row>
    <row r="15" spans="1:34" s="2" customFormat="1" ht="27" customHeight="1" x14ac:dyDescent="0.3">
      <c r="D15" s="23"/>
      <c r="AF15" s="34"/>
      <c r="AG15" s="34"/>
    </row>
    <row r="16" spans="1:34" s="2" customFormat="1" ht="27" customHeight="1" x14ac:dyDescent="0.3">
      <c r="D16" s="23"/>
      <c r="AF16" s="34"/>
      <c r="AG16" s="34"/>
    </row>
    <row r="17" spans="4:33" s="2" customFormat="1" ht="27" customHeight="1" x14ac:dyDescent="0.3">
      <c r="D17" s="23"/>
      <c r="AF17" s="34"/>
      <c r="AG17" s="34"/>
    </row>
    <row r="18" spans="4:33" s="2" customFormat="1" ht="27" customHeight="1" x14ac:dyDescent="0.3">
      <c r="D18" s="23"/>
      <c r="AF18" s="34"/>
      <c r="AG18" s="34"/>
    </row>
    <row r="19" spans="4:33" s="2" customFormat="1" ht="27" customHeight="1" x14ac:dyDescent="0.3">
      <c r="D19" s="23"/>
      <c r="AF19" s="34"/>
      <c r="AG19" s="34"/>
    </row>
    <row r="20" spans="4:33" s="2" customFormat="1" ht="27" customHeight="1" x14ac:dyDescent="0.3">
      <c r="D20" s="23"/>
      <c r="AF20" s="34"/>
      <c r="AG20" s="34"/>
    </row>
    <row r="21" spans="4:33" s="2" customFormat="1" ht="27" customHeight="1" x14ac:dyDescent="0.3">
      <c r="D21" s="23"/>
      <c r="AF21" s="34"/>
      <c r="AG21" s="34"/>
    </row>
    <row r="22" spans="4:33" s="2" customFormat="1" ht="27" customHeight="1" x14ac:dyDescent="0.3">
      <c r="D22" s="23"/>
      <c r="AF22" s="34"/>
      <c r="AG22" s="34"/>
    </row>
    <row r="23" spans="4:33" s="2" customFormat="1" ht="27" customHeight="1" x14ac:dyDescent="0.3">
      <c r="D23" s="23"/>
      <c r="AF23" s="34"/>
      <c r="AG23" s="34"/>
    </row>
    <row r="24" spans="4:33" s="2" customFormat="1" ht="27" customHeight="1" x14ac:dyDescent="0.3">
      <c r="D24" s="23"/>
      <c r="AF24" s="34"/>
      <c r="AG24" s="34"/>
    </row>
    <row r="25" spans="4:33" s="2" customFormat="1" ht="27" customHeight="1" x14ac:dyDescent="0.3">
      <c r="D25" s="23"/>
      <c r="AF25" s="34"/>
      <c r="AG25" s="34"/>
    </row>
    <row r="26" spans="4:33" s="2" customFormat="1" ht="27" customHeight="1" x14ac:dyDescent="0.3">
      <c r="D26" s="23"/>
      <c r="AF26" s="34"/>
      <c r="AG26" s="34"/>
    </row>
    <row r="27" spans="4:33" s="2" customFormat="1" ht="27" customHeight="1" x14ac:dyDescent="0.3">
      <c r="D27" s="23"/>
      <c r="AF27" s="34"/>
      <c r="AG27" s="34"/>
    </row>
    <row r="28" spans="4:33" s="2" customFormat="1" ht="27" customHeight="1" x14ac:dyDescent="0.3">
      <c r="D28" s="23"/>
      <c r="AF28" s="34"/>
      <c r="AG28" s="34"/>
    </row>
    <row r="29" spans="4:33" s="2" customFormat="1" ht="27" customHeight="1" x14ac:dyDescent="0.3">
      <c r="D29" s="23"/>
      <c r="AF29" s="34"/>
      <c r="AG29" s="34"/>
    </row>
    <row r="30" spans="4:33" s="2" customFormat="1" ht="27" customHeight="1" x14ac:dyDescent="0.3">
      <c r="D30" s="23"/>
      <c r="AF30" s="34"/>
      <c r="AG30" s="34"/>
    </row>
    <row r="31" spans="4:33" s="2" customFormat="1" ht="27" customHeight="1" x14ac:dyDescent="0.3">
      <c r="D31" s="23"/>
      <c r="AF31" s="34"/>
      <c r="AG31" s="34"/>
    </row>
    <row r="32" spans="4:33" s="2" customFormat="1" ht="27" customHeight="1" x14ac:dyDescent="0.3">
      <c r="D32" s="23"/>
      <c r="AF32" s="34"/>
      <c r="AG32" s="34"/>
    </row>
    <row r="33" spans="4:33" s="2" customFormat="1" ht="27" customHeight="1" x14ac:dyDescent="0.3">
      <c r="D33" s="23"/>
      <c r="AF33" s="34"/>
      <c r="AG33" s="34"/>
    </row>
    <row r="34" spans="4:33" s="2" customFormat="1" ht="27" customHeight="1" x14ac:dyDescent="0.3">
      <c r="D34" s="23"/>
      <c r="AF34" s="34"/>
      <c r="AG34" s="34"/>
    </row>
    <row r="35" spans="4:33" s="2" customFormat="1" ht="27" customHeight="1" x14ac:dyDescent="0.3">
      <c r="D35" s="23"/>
      <c r="AF35" s="34"/>
      <c r="AG35" s="34"/>
    </row>
    <row r="36" spans="4:33" s="2" customFormat="1" ht="27" customHeight="1" x14ac:dyDescent="0.3">
      <c r="D36" s="23"/>
      <c r="AF36" s="34"/>
      <c r="AG36" s="34"/>
    </row>
    <row r="37" spans="4:33" s="2" customFormat="1" ht="27" customHeight="1" x14ac:dyDescent="0.3">
      <c r="D37" s="23"/>
      <c r="AF37" s="34"/>
      <c r="AG37" s="34"/>
    </row>
    <row r="38" spans="4:33" s="2" customFormat="1" ht="27" customHeight="1" x14ac:dyDescent="0.3">
      <c r="D38" s="23"/>
      <c r="AF38" s="34"/>
      <c r="AG38" s="34"/>
    </row>
    <row r="39" spans="4:33" s="2" customFormat="1" ht="27" customHeight="1" x14ac:dyDescent="0.3">
      <c r="D39" s="23"/>
      <c r="AF39" s="34"/>
      <c r="AG39" s="34"/>
    </row>
    <row r="40" spans="4:33" s="2" customFormat="1" ht="27" customHeight="1" x14ac:dyDescent="0.3">
      <c r="D40" s="23"/>
      <c r="AF40" s="34"/>
      <c r="AG40" s="34"/>
    </row>
    <row r="41" spans="4:33" s="2" customFormat="1" ht="27" customHeight="1" x14ac:dyDescent="0.3">
      <c r="D41" s="23"/>
      <c r="AF41" s="34"/>
      <c r="AG41" s="34"/>
    </row>
    <row r="42" spans="4:33" s="2" customFormat="1" ht="27" customHeight="1" x14ac:dyDescent="0.3">
      <c r="D42" s="23"/>
      <c r="AF42" s="34"/>
      <c r="AG42" s="34"/>
    </row>
    <row r="43" spans="4:33" s="2" customFormat="1" ht="27" customHeight="1" x14ac:dyDescent="0.3">
      <c r="D43" s="23"/>
      <c r="AF43" s="34"/>
      <c r="AG43" s="34"/>
    </row>
    <row r="44" spans="4:33" s="2" customFormat="1" ht="27" customHeight="1" x14ac:dyDescent="0.3">
      <c r="D44" s="23"/>
      <c r="AF44" s="34"/>
      <c r="AG44" s="34"/>
    </row>
    <row r="45" spans="4:33" s="2" customFormat="1" ht="27" customHeight="1" x14ac:dyDescent="0.3">
      <c r="D45" s="23"/>
      <c r="AF45" s="34"/>
      <c r="AG45" s="34"/>
    </row>
    <row r="46" spans="4:33" s="2" customFormat="1" ht="27" customHeight="1" x14ac:dyDescent="0.3">
      <c r="D46" s="23"/>
      <c r="AF46" s="34"/>
      <c r="AG46" s="34"/>
    </row>
    <row r="47" spans="4:33" s="2" customFormat="1" ht="27" customHeight="1" x14ac:dyDescent="0.3">
      <c r="D47" s="23"/>
      <c r="AF47" s="34"/>
      <c r="AG47" s="34"/>
    </row>
    <row r="48" spans="4:33" s="2" customFormat="1" ht="27" customHeight="1" x14ac:dyDescent="0.3">
      <c r="D48" s="23"/>
      <c r="AF48" s="34"/>
      <c r="AG48" s="34"/>
    </row>
    <row r="49" spans="4:33" s="2" customFormat="1" ht="27" customHeight="1" x14ac:dyDescent="0.3">
      <c r="D49" s="23"/>
      <c r="AF49" s="34"/>
      <c r="AG49" s="34"/>
    </row>
    <row r="50" spans="4:33" s="2" customFormat="1" ht="27" customHeight="1" x14ac:dyDescent="0.3">
      <c r="D50" s="23"/>
      <c r="AF50" s="34"/>
      <c r="AG50" s="34"/>
    </row>
    <row r="51" spans="4:33" s="2" customFormat="1" ht="27" customHeight="1" x14ac:dyDescent="0.3">
      <c r="D51" s="23"/>
      <c r="AF51" s="34"/>
      <c r="AG51" s="34"/>
    </row>
    <row r="52" spans="4:33" s="2" customFormat="1" ht="27" customHeight="1" x14ac:dyDescent="0.3">
      <c r="D52" s="23"/>
      <c r="AF52" s="34"/>
      <c r="AG52" s="34"/>
    </row>
    <row r="53" spans="4:33" s="2" customFormat="1" ht="27" customHeight="1" x14ac:dyDescent="0.3">
      <c r="D53" s="23"/>
      <c r="AF53" s="34"/>
      <c r="AG53" s="34"/>
    </row>
    <row r="54" spans="4:33" s="2" customFormat="1" ht="27" customHeight="1" x14ac:dyDescent="0.3">
      <c r="D54" s="23"/>
      <c r="AF54" s="34"/>
      <c r="AG54" s="34"/>
    </row>
    <row r="55" spans="4:33" s="2" customFormat="1" ht="27" customHeight="1" x14ac:dyDescent="0.3">
      <c r="D55" s="23"/>
      <c r="AF55" s="34"/>
      <c r="AG55" s="34"/>
    </row>
    <row r="56" spans="4:33" s="2" customFormat="1" ht="27" customHeight="1" x14ac:dyDescent="0.3">
      <c r="D56" s="23"/>
      <c r="AF56" s="34"/>
      <c r="AG56" s="34"/>
    </row>
    <row r="57" spans="4:33" s="2" customFormat="1" ht="27" customHeight="1" x14ac:dyDescent="0.3">
      <c r="D57" s="23"/>
      <c r="AF57" s="34"/>
      <c r="AG57" s="34"/>
    </row>
    <row r="58" spans="4:33" s="2" customFormat="1" ht="27" customHeight="1" x14ac:dyDescent="0.3">
      <c r="D58" s="23"/>
      <c r="AF58" s="34"/>
      <c r="AG58" s="34"/>
    </row>
    <row r="59" spans="4:33" s="2" customFormat="1" ht="27" customHeight="1" x14ac:dyDescent="0.3">
      <c r="D59" s="23"/>
      <c r="AF59" s="34"/>
      <c r="AG59" s="34"/>
    </row>
    <row r="60" spans="4:33" s="2" customFormat="1" ht="27" customHeight="1" x14ac:dyDescent="0.3">
      <c r="D60" s="23"/>
      <c r="AF60" s="34"/>
      <c r="AG60" s="34"/>
    </row>
    <row r="61" spans="4:33" s="2" customFormat="1" ht="27" customHeight="1" x14ac:dyDescent="0.3">
      <c r="D61" s="23"/>
      <c r="AF61" s="34"/>
      <c r="AG61" s="34"/>
    </row>
    <row r="62" spans="4:33" s="2" customFormat="1" ht="27" customHeight="1" x14ac:dyDescent="0.3">
      <c r="D62" s="23"/>
      <c r="AF62" s="34"/>
      <c r="AG62" s="34"/>
    </row>
    <row r="63" spans="4:33" s="2" customFormat="1" ht="27" customHeight="1" x14ac:dyDescent="0.3">
      <c r="D63" s="23"/>
      <c r="AF63" s="34"/>
      <c r="AG63" s="34"/>
    </row>
    <row r="64" spans="4:33" s="2" customFormat="1" ht="27" customHeight="1" x14ac:dyDescent="0.3">
      <c r="D64" s="23"/>
      <c r="AF64" s="34"/>
      <c r="AG64" s="34"/>
    </row>
    <row r="65" spans="4:33" s="2" customFormat="1" ht="27" customHeight="1" x14ac:dyDescent="0.3">
      <c r="D65" s="23"/>
      <c r="AF65" s="34"/>
      <c r="AG65" s="34"/>
    </row>
    <row r="66" spans="4:33" s="2" customFormat="1" ht="27" customHeight="1" x14ac:dyDescent="0.3">
      <c r="D66" s="23"/>
      <c r="AF66" s="34"/>
      <c r="AG66" s="34"/>
    </row>
    <row r="67" spans="4:33" s="2" customFormat="1" ht="27" customHeight="1" x14ac:dyDescent="0.3">
      <c r="D67" s="23"/>
      <c r="AF67" s="34"/>
      <c r="AG67" s="34"/>
    </row>
    <row r="68" spans="4:33" s="2" customFormat="1" ht="27" customHeight="1" x14ac:dyDescent="0.3">
      <c r="D68" s="23"/>
      <c r="AF68" s="34"/>
      <c r="AG68" s="34"/>
    </row>
    <row r="69" spans="4:33" s="2" customFormat="1" ht="27" customHeight="1" x14ac:dyDescent="0.3">
      <c r="D69" s="23"/>
      <c r="AF69" s="34"/>
      <c r="AG69" s="34"/>
    </row>
    <row r="70" spans="4:33" s="2" customFormat="1" ht="27" customHeight="1" x14ac:dyDescent="0.3">
      <c r="D70" s="23"/>
      <c r="AF70" s="34"/>
      <c r="AG70" s="34"/>
    </row>
    <row r="71" spans="4:33" s="2" customFormat="1" ht="27" customHeight="1" x14ac:dyDescent="0.3">
      <c r="D71" s="23"/>
      <c r="AF71" s="34"/>
      <c r="AG71" s="34"/>
    </row>
    <row r="72" spans="4:33" s="2" customFormat="1" ht="27" customHeight="1" x14ac:dyDescent="0.3">
      <c r="D72" s="23"/>
      <c r="AF72" s="34"/>
      <c r="AG72" s="34"/>
    </row>
    <row r="73" spans="4:33" s="2" customFormat="1" ht="27" customHeight="1" x14ac:dyDescent="0.3">
      <c r="D73" s="23"/>
      <c r="AF73" s="34"/>
      <c r="AG73" s="34"/>
    </row>
    <row r="74" spans="4:33" s="2" customFormat="1" ht="27" customHeight="1" x14ac:dyDescent="0.3">
      <c r="D74" s="23"/>
      <c r="AF74" s="34"/>
      <c r="AG74" s="34"/>
    </row>
    <row r="75" spans="4:33" s="2" customFormat="1" ht="27" customHeight="1" x14ac:dyDescent="0.3">
      <c r="D75" s="23"/>
      <c r="AF75" s="34"/>
      <c r="AG75" s="34"/>
    </row>
    <row r="76" spans="4:33" s="2" customFormat="1" ht="27" customHeight="1" x14ac:dyDescent="0.3">
      <c r="D76" s="23"/>
      <c r="AF76" s="34"/>
      <c r="AG76" s="34"/>
    </row>
    <row r="77" spans="4:33" s="2" customFormat="1" ht="27" customHeight="1" x14ac:dyDescent="0.3">
      <c r="D77" s="23"/>
      <c r="AF77" s="34"/>
      <c r="AG77" s="34"/>
    </row>
    <row r="78" spans="4:33" s="2" customFormat="1" ht="27" customHeight="1" x14ac:dyDescent="0.3">
      <c r="D78" s="23"/>
      <c r="AF78" s="34"/>
      <c r="AG78" s="34"/>
    </row>
    <row r="79" spans="4:33" s="2" customFormat="1" ht="27" customHeight="1" x14ac:dyDescent="0.3">
      <c r="D79" s="23"/>
      <c r="AF79" s="34"/>
      <c r="AG79" s="34"/>
    </row>
    <row r="80" spans="4:33" s="2" customFormat="1" ht="27" customHeight="1" x14ac:dyDescent="0.3">
      <c r="D80" s="23"/>
      <c r="AF80" s="34"/>
      <c r="AG80" s="34"/>
    </row>
    <row r="81" spans="4:33" s="2" customFormat="1" ht="27" customHeight="1" x14ac:dyDescent="0.3">
      <c r="D81" s="23"/>
      <c r="AF81" s="34"/>
      <c r="AG81" s="34"/>
    </row>
    <row r="82" spans="4:33" s="2" customFormat="1" ht="27" customHeight="1" x14ac:dyDescent="0.3">
      <c r="D82" s="23"/>
      <c r="AF82" s="34"/>
      <c r="AG82" s="34"/>
    </row>
    <row r="83" spans="4:33" s="2" customFormat="1" ht="27" customHeight="1" x14ac:dyDescent="0.3">
      <c r="D83" s="23"/>
      <c r="AF83" s="34"/>
      <c r="AG83" s="34"/>
    </row>
    <row r="84" spans="4:33" s="2" customFormat="1" ht="27" customHeight="1" x14ac:dyDescent="0.3">
      <c r="D84" s="23"/>
      <c r="AF84" s="34"/>
      <c r="AG84" s="34"/>
    </row>
    <row r="85" spans="4:33" s="2" customFormat="1" ht="27" customHeight="1" x14ac:dyDescent="0.3">
      <c r="D85" s="23"/>
      <c r="AF85" s="34"/>
      <c r="AG85" s="34"/>
    </row>
    <row r="86" spans="4:33" s="2" customFormat="1" ht="27" customHeight="1" x14ac:dyDescent="0.3">
      <c r="D86" s="23"/>
      <c r="AF86" s="34"/>
      <c r="AG86" s="34"/>
    </row>
    <row r="87" spans="4:33" s="2" customFormat="1" ht="27" customHeight="1" x14ac:dyDescent="0.3">
      <c r="D87" s="23"/>
      <c r="AF87" s="34"/>
      <c r="AG87" s="34"/>
    </row>
    <row r="88" spans="4:33" s="2" customFormat="1" ht="27" customHeight="1" x14ac:dyDescent="0.3">
      <c r="D88" s="23"/>
      <c r="AF88" s="34"/>
      <c r="AG88" s="34"/>
    </row>
    <row r="89" spans="4:33" s="2" customFormat="1" ht="27" customHeight="1" x14ac:dyDescent="0.3">
      <c r="D89" s="23"/>
      <c r="AF89" s="34"/>
      <c r="AG89" s="34"/>
    </row>
    <row r="90" spans="4:33" s="2" customFormat="1" ht="27" customHeight="1" x14ac:dyDescent="0.3">
      <c r="D90" s="23"/>
      <c r="AF90" s="34"/>
      <c r="AG90" s="34"/>
    </row>
    <row r="91" spans="4:33" s="2" customFormat="1" ht="27" customHeight="1" x14ac:dyDescent="0.3">
      <c r="D91" s="23"/>
      <c r="AF91" s="34"/>
      <c r="AG91" s="34"/>
    </row>
    <row r="92" spans="4:33" s="2" customFormat="1" ht="27" customHeight="1" x14ac:dyDescent="0.3">
      <c r="D92" s="23"/>
      <c r="AF92" s="34"/>
      <c r="AG92" s="34"/>
    </row>
    <row r="93" spans="4:33" s="2" customFormat="1" ht="27" customHeight="1" x14ac:dyDescent="0.3">
      <c r="D93" s="23"/>
      <c r="AF93" s="34"/>
      <c r="AG93" s="34"/>
    </row>
    <row r="94" spans="4:33" s="2" customFormat="1" ht="27" customHeight="1" x14ac:dyDescent="0.3">
      <c r="D94" s="23"/>
      <c r="AF94" s="34"/>
      <c r="AG94" s="34"/>
    </row>
    <row r="95" spans="4:33" s="2" customFormat="1" ht="27" customHeight="1" x14ac:dyDescent="0.3">
      <c r="D95" s="23"/>
      <c r="AF95" s="34"/>
      <c r="AG95" s="34"/>
    </row>
    <row r="96" spans="4:33" s="2" customFormat="1" ht="27" customHeight="1" x14ac:dyDescent="0.3">
      <c r="D96" s="23"/>
      <c r="AF96" s="34"/>
      <c r="AG96" s="34"/>
    </row>
    <row r="97" spans="4:33" s="2" customFormat="1" ht="27" customHeight="1" x14ac:dyDescent="0.3">
      <c r="D97" s="23"/>
      <c r="AF97" s="34"/>
      <c r="AG97" s="34"/>
    </row>
    <row r="98" spans="4:33" s="2" customFormat="1" ht="27" customHeight="1" x14ac:dyDescent="0.3">
      <c r="D98" s="23"/>
      <c r="AF98" s="34"/>
      <c r="AG98" s="34"/>
    </row>
    <row r="99" spans="4:33" s="2" customFormat="1" ht="27" customHeight="1" x14ac:dyDescent="0.3">
      <c r="D99" s="23"/>
      <c r="AF99" s="34"/>
      <c r="AG99" s="34"/>
    </row>
    <row r="100" spans="4:33" s="2" customFormat="1" ht="27" customHeight="1" x14ac:dyDescent="0.3">
      <c r="D100" s="23"/>
      <c r="AF100" s="34"/>
      <c r="AG100" s="34"/>
    </row>
    <row r="101" spans="4:33" s="2" customFormat="1" ht="27" customHeight="1" x14ac:dyDescent="0.3">
      <c r="D101" s="23"/>
      <c r="AF101" s="34"/>
      <c r="AG101" s="34"/>
    </row>
    <row r="102" spans="4:33" s="2" customFormat="1" ht="27" customHeight="1" x14ac:dyDescent="0.3">
      <c r="D102" s="23"/>
      <c r="AF102" s="34"/>
      <c r="AG102" s="34"/>
    </row>
    <row r="103" spans="4:33" s="2" customFormat="1" ht="27" customHeight="1" x14ac:dyDescent="0.3">
      <c r="D103" s="23"/>
      <c r="AF103" s="34"/>
      <c r="AG103" s="34"/>
    </row>
    <row r="104" spans="4:33" s="2" customFormat="1" ht="27" customHeight="1" x14ac:dyDescent="0.3">
      <c r="D104" s="23"/>
      <c r="AF104" s="34"/>
      <c r="AG104" s="34"/>
    </row>
    <row r="105" spans="4:33" s="2" customFormat="1" ht="27" customHeight="1" x14ac:dyDescent="0.3">
      <c r="D105" s="23"/>
      <c r="AF105" s="34"/>
      <c r="AG105" s="34"/>
    </row>
    <row r="106" spans="4:33" s="2" customFormat="1" ht="27" customHeight="1" x14ac:dyDescent="0.3">
      <c r="D106" s="23"/>
      <c r="AF106" s="34"/>
      <c r="AG106" s="34"/>
    </row>
    <row r="107" spans="4:33" s="2" customFormat="1" ht="27" customHeight="1" x14ac:dyDescent="0.3">
      <c r="D107" s="23"/>
      <c r="AF107" s="34"/>
      <c r="AG107" s="34"/>
    </row>
    <row r="108" spans="4:33" s="2" customFormat="1" ht="27" customHeight="1" x14ac:dyDescent="0.3">
      <c r="D108" s="23"/>
      <c r="AF108" s="34"/>
      <c r="AG108" s="34"/>
    </row>
    <row r="109" spans="4:33" s="2" customFormat="1" ht="27" customHeight="1" x14ac:dyDescent="0.3">
      <c r="D109" s="23"/>
      <c r="AF109" s="34"/>
      <c r="AG109" s="34"/>
    </row>
    <row r="110" spans="4:33" s="2" customFormat="1" ht="27" customHeight="1" x14ac:dyDescent="0.3">
      <c r="D110" s="23"/>
      <c r="AF110" s="34"/>
      <c r="AG110" s="34"/>
    </row>
    <row r="111" spans="4:33" s="2" customFormat="1" ht="27" customHeight="1" x14ac:dyDescent="0.3">
      <c r="D111" s="23"/>
      <c r="AF111" s="34"/>
      <c r="AG111" s="34"/>
    </row>
    <row r="112" spans="4:33" s="2" customFormat="1" ht="27" customHeight="1" x14ac:dyDescent="0.3">
      <c r="D112" s="23"/>
      <c r="AF112" s="34"/>
      <c r="AG112" s="34"/>
    </row>
    <row r="113" spans="4:33" s="2" customFormat="1" ht="27" customHeight="1" x14ac:dyDescent="0.3">
      <c r="D113" s="23"/>
      <c r="AF113" s="34"/>
      <c r="AG113" s="34"/>
    </row>
    <row r="114" spans="4:33" s="2" customFormat="1" ht="27" customHeight="1" x14ac:dyDescent="0.3">
      <c r="D114" s="23"/>
      <c r="AF114" s="34"/>
      <c r="AG114" s="34"/>
    </row>
    <row r="115" spans="4:33" s="2" customFormat="1" ht="27" customHeight="1" x14ac:dyDescent="0.3">
      <c r="D115" s="23"/>
      <c r="AF115" s="34"/>
      <c r="AG115" s="34"/>
    </row>
    <row r="116" spans="4:33" s="2" customFormat="1" ht="27" customHeight="1" x14ac:dyDescent="0.3">
      <c r="D116" s="23"/>
      <c r="AF116" s="34"/>
      <c r="AG116" s="34"/>
    </row>
    <row r="117" spans="4:33" s="2" customFormat="1" ht="27" customHeight="1" x14ac:dyDescent="0.3">
      <c r="D117" s="23"/>
      <c r="AF117" s="34"/>
      <c r="AG117" s="34"/>
    </row>
    <row r="118" spans="4:33" s="2" customFormat="1" ht="27" customHeight="1" x14ac:dyDescent="0.3">
      <c r="D118" s="23"/>
      <c r="AF118" s="34"/>
      <c r="AG118" s="34"/>
    </row>
    <row r="119" spans="4:33" s="2" customFormat="1" ht="27" customHeight="1" x14ac:dyDescent="0.3">
      <c r="D119" s="23"/>
      <c r="AF119" s="34"/>
      <c r="AG119" s="34"/>
    </row>
    <row r="120" spans="4:33" s="2" customFormat="1" ht="27" customHeight="1" x14ac:dyDescent="0.3">
      <c r="D120" s="23"/>
      <c r="AF120" s="34"/>
      <c r="AG120" s="34"/>
    </row>
    <row r="121" spans="4:33" s="2" customFormat="1" ht="27" customHeight="1" x14ac:dyDescent="0.3">
      <c r="D121" s="23"/>
      <c r="AF121" s="34"/>
      <c r="AG121" s="34"/>
    </row>
    <row r="122" spans="4:33" s="2" customFormat="1" ht="27" customHeight="1" x14ac:dyDescent="0.3">
      <c r="D122" s="23"/>
      <c r="AF122" s="34"/>
      <c r="AG122" s="34"/>
    </row>
    <row r="123" spans="4:33" s="2" customFormat="1" ht="27" customHeight="1" x14ac:dyDescent="0.3">
      <c r="D123" s="23"/>
      <c r="AF123" s="34"/>
      <c r="AG123" s="34"/>
    </row>
    <row r="124" spans="4:33" s="2" customFormat="1" ht="27" customHeight="1" x14ac:dyDescent="0.3">
      <c r="D124" s="23"/>
      <c r="AF124" s="34"/>
      <c r="AG124" s="34"/>
    </row>
    <row r="125" spans="4:33" s="2" customFormat="1" ht="27" customHeight="1" x14ac:dyDescent="0.3">
      <c r="D125" s="23"/>
      <c r="AF125" s="34"/>
      <c r="AG125" s="34"/>
    </row>
    <row r="126" spans="4:33" s="2" customFormat="1" ht="27" customHeight="1" x14ac:dyDescent="0.3">
      <c r="D126" s="23"/>
      <c r="AF126" s="34"/>
      <c r="AG126" s="34"/>
    </row>
    <row r="127" spans="4:33" s="2" customFormat="1" ht="27" customHeight="1" x14ac:dyDescent="0.3">
      <c r="D127" s="23"/>
      <c r="AF127" s="34"/>
      <c r="AG127" s="34"/>
    </row>
    <row r="128" spans="4:33" s="2" customFormat="1" ht="27" customHeight="1" x14ac:dyDescent="0.3">
      <c r="D128" s="23"/>
      <c r="AF128" s="34"/>
      <c r="AG128" s="34"/>
    </row>
    <row r="129" spans="4:33" s="2" customFormat="1" ht="27" customHeight="1" x14ac:dyDescent="0.3">
      <c r="D129" s="23"/>
      <c r="AF129" s="34"/>
      <c r="AG129" s="34"/>
    </row>
    <row r="130" spans="4:33" s="2" customFormat="1" ht="27" customHeight="1" x14ac:dyDescent="0.3">
      <c r="D130" s="23"/>
      <c r="AF130" s="34"/>
      <c r="AG130" s="34"/>
    </row>
    <row r="131" spans="4:33" s="2" customFormat="1" ht="27" customHeight="1" x14ac:dyDescent="0.3">
      <c r="D131" s="23"/>
      <c r="AF131" s="34"/>
      <c r="AG131" s="34"/>
    </row>
    <row r="132" spans="4:33" s="2" customFormat="1" ht="27" customHeight="1" x14ac:dyDescent="0.3">
      <c r="D132" s="23"/>
      <c r="AF132" s="34"/>
      <c r="AG132" s="34"/>
    </row>
    <row r="133" spans="4:33" s="2" customFormat="1" ht="27" customHeight="1" x14ac:dyDescent="0.3">
      <c r="D133" s="23"/>
      <c r="AF133" s="34"/>
      <c r="AG133" s="34"/>
    </row>
    <row r="134" spans="4:33" s="2" customFormat="1" ht="27" customHeight="1" x14ac:dyDescent="0.3">
      <c r="D134" s="23"/>
      <c r="AF134" s="34"/>
      <c r="AG134" s="34"/>
    </row>
    <row r="135" spans="4:33" s="2" customFormat="1" ht="27" customHeight="1" x14ac:dyDescent="0.3">
      <c r="D135" s="23"/>
      <c r="AF135" s="34"/>
      <c r="AG135" s="34"/>
    </row>
    <row r="136" spans="4:33" s="2" customFormat="1" ht="27" customHeight="1" x14ac:dyDescent="0.3">
      <c r="D136" s="23"/>
      <c r="AF136" s="34"/>
      <c r="AG136" s="34"/>
    </row>
    <row r="137" spans="4:33" s="2" customFormat="1" ht="27" customHeight="1" x14ac:dyDescent="0.3">
      <c r="D137" s="23"/>
      <c r="AF137" s="34"/>
      <c r="AG137" s="34"/>
    </row>
    <row r="138" spans="4:33" s="2" customFormat="1" ht="27" customHeight="1" x14ac:dyDescent="0.3">
      <c r="D138" s="23"/>
      <c r="AF138" s="34"/>
      <c r="AG138" s="34"/>
    </row>
    <row r="139" spans="4:33" s="2" customFormat="1" ht="27" customHeight="1" x14ac:dyDescent="0.3">
      <c r="D139" s="23"/>
      <c r="AF139" s="34"/>
      <c r="AG139" s="34"/>
    </row>
    <row r="140" spans="4:33" s="2" customFormat="1" ht="27" customHeight="1" x14ac:dyDescent="0.3">
      <c r="D140" s="23"/>
      <c r="AF140" s="34"/>
      <c r="AG140" s="34"/>
    </row>
    <row r="141" spans="4:33" s="2" customFormat="1" ht="27" customHeight="1" x14ac:dyDescent="0.3">
      <c r="D141" s="23"/>
      <c r="AF141" s="34"/>
      <c r="AG141" s="34"/>
    </row>
    <row r="142" spans="4:33" s="2" customFormat="1" ht="27" customHeight="1" x14ac:dyDescent="0.3">
      <c r="D142" s="23"/>
      <c r="AF142" s="34"/>
      <c r="AG142" s="34"/>
    </row>
    <row r="143" spans="4:33" s="2" customFormat="1" ht="27" customHeight="1" x14ac:dyDescent="0.3">
      <c r="D143" s="23"/>
      <c r="AF143" s="34"/>
      <c r="AG143" s="34"/>
    </row>
    <row r="144" spans="4:33" s="2" customFormat="1" ht="27" customHeight="1" x14ac:dyDescent="0.3">
      <c r="D144" s="23"/>
      <c r="AF144" s="34"/>
      <c r="AG144" s="34"/>
    </row>
    <row r="145" spans="4:33" s="2" customFormat="1" ht="27" customHeight="1" x14ac:dyDescent="0.3">
      <c r="D145" s="23"/>
      <c r="AF145" s="34"/>
      <c r="AG145" s="34"/>
    </row>
    <row r="146" spans="4:33" s="2" customFormat="1" ht="27" customHeight="1" x14ac:dyDescent="0.3">
      <c r="D146" s="23"/>
      <c r="AF146" s="34"/>
      <c r="AG146" s="34"/>
    </row>
    <row r="147" spans="4:33" s="2" customFormat="1" ht="27" customHeight="1" x14ac:dyDescent="0.3">
      <c r="D147" s="23"/>
      <c r="AF147" s="34"/>
      <c r="AG147" s="34"/>
    </row>
    <row r="148" spans="4:33" s="2" customFormat="1" ht="27" customHeight="1" x14ac:dyDescent="0.3">
      <c r="D148" s="23"/>
      <c r="AF148" s="34"/>
      <c r="AG148" s="34"/>
    </row>
    <row r="149" spans="4:33" s="2" customFormat="1" ht="27" customHeight="1" x14ac:dyDescent="0.3">
      <c r="D149" s="23"/>
      <c r="AF149" s="34"/>
      <c r="AG149" s="34"/>
    </row>
    <row r="150" spans="4:33" s="2" customFormat="1" ht="27" customHeight="1" x14ac:dyDescent="0.3">
      <c r="D150" s="23"/>
      <c r="AF150" s="34"/>
      <c r="AG150" s="34"/>
    </row>
    <row r="151" spans="4:33" s="2" customFormat="1" ht="27" customHeight="1" x14ac:dyDescent="0.3">
      <c r="D151" s="23"/>
      <c r="AF151" s="34"/>
      <c r="AG151" s="34"/>
    </row>
    <row r="152" spans="4:33" s="2" customFormat="1" ht="27" customHeight="1" x14ac:dyDescent="0.3">
      <c r="D152" s="23"/>
      <c r="AF152" s="34"/>
      <c r="AG152" s="34"/>
    </row>
    <row r="153" spans="4:33" s="2" customFormat="1" ht="27" customHeight="1" x14ac:dyDescent="0.3">
      <c r="D153" s="23"/>
      <c r="AF153" s="34"/>
      <c r="AG153" s="34"/>
    </row>
    <row r="154" spans="4:33" s="2" customFormat="1" ht="27" customHeight="1" x14ac:dyDescent="0.3">
      <c r="D154" s="23"/>
      <c r="AF154" s="34"/>
      <c r="AG154" s="34"/>
    </row>
    <row r="155" spans="4:33" s="2" customFormat="1" ht="27" customHeight="1" x14ac:dyDescent="0.3">
      <c r="D155" s="23"/>
      <c r="AF155" s="34"/>
      <c r="AG155" s="34"/>
    </row>
    <row r="156" spans="4:33" s="2" customFormat="1" ht="27" customHeight="1" x14ac:dyDescent="0.3">
      <c r="D156" s="23"/>
      <c r="AF156" s="34"/>
      <c r="AG156" s="34"/>
    </row>
    <row r="157" spans="4:33" s="2" customFormat="1" ht="27" customHeight="1" x14ac:dyDescent="0.3">
      <c r="D157" s="23"/>
      <c r="AF157" s="34"/>
      <c r="AG157" s="34"/>
    </row>
    <row r="158" spans="4:33" s="2" customFormat="1" ht="27" customHeight="1" x14ac:dyDescent="0.3">
      <c r="D158" s="23"/>
      <c r="AF158" s="34"/>
      <c r="AG158" s="34"/>
    </row>
    <row r="159" spans="4:33" s="2" customFormat="1" ht="27" customHeight="1" x14ac:dyDescent="0.3">
      <c r="D159" s="23"/>
      <c r="AF159" s="34"/>
      <c r="AG159" s="34"/>
    </row>
    <row r="160" spans="4:33" s="2" customFormat="1" ht="27" customHeight="1" x14ac:dyDescent="0.3">
      <c r="D160" s="23"/>
      <c r="AF160" s="34"/>
      <c r="AG160" s="34"/>
    </row>
    <row r="161" spans="4:33" s="2" customFormat="1" ht="27" customHeight="1" x14ac:dyDescent="0.3">
      <c r="D161" s="23"/>
      <c r="AF161" s="34"/>
      <c r="AG161" s="34"/>
    </row>
    <row r="162" spans="4:33" s="2" customFormat="1" ht="27" customHeight="1" x14ac:dyDescent="0.3">
      <c r="D162" s="23"/>
      <c r="AF162" s="34"/>
      <c r="AG162" s="34"/>
    </row>
    <row r="163" spans="4:33" s="2" customFormat="1" ht="27" customHeight="1" x14ac:dyDescent="0.3">
      <c r="D163" s="23"/>
      <c r="AF163" s="34"/>
      <c r="AG163" s="34"/>
    </row>
    <row r="164" spans="4:33" s="2" customFormat="1" ht="27" customHeight="1" x14ac:dyDescent="0.3">
      <c r="D164" s="23"/>
      <c r="AF164" s="34"/>
      <c r="AG164" s="34"/>
    </row>
    <row r="165" spans="4:33" s="2" customFormat="1" ht="27" customHeight="1" x14ac:dyDescent="0.3">
      <c r="D165" s="23"/>
      <c r="AF165" s="34"/>
      <c r="AG165" s="34"/>
    </row>
    <row r="166" spans="4:33" s="2" customFormat="1" ht="27" customHeight="1" x14ac:dyDescent="0.3">
      <c r="D166" s="23"/>
      <c r="AF166" s="34"/>
      <c r="AG166" s="34"/>
    </row>
    <row r="167" spans="4:33" s="2" customFormat="1" ht="27" customHeight="1" x14ac:dyDescent="0.3">
      <c r="D167" s="23"/>
      <c r="AF167" s="34"/>
      <c r="AG167" s="34"/>
    </row>
    <row r="168" spans="4:33" s="2" customFormat="1" ht="27" customHeight="1" x14ac:dyDescent="0.3">
      <c r="D168" s="23"/>
      <c r="AF168" s="34"/>
      <c r="AG168" s="34"/>
    </row>
    <row r="169" spans="4:33" s="2" customFormat="1" ht="27" customHeight="1" x14ac:dyDescent="0.3">
      <c r="D169" s="23"/>
      <c r="AF169" s="34"/>
      <c r="AG169" s="34"/>
    </row>
    <row r="170" spans="4:33" s="2" customFormat="1" ht="27" customHeight="1" x14ac:dyDescent="0.3">
      <c r="D170" s="23"/>
      <c r="AF170" s="34"/>
      <c r="AG170" s="34"/>
    </row>
    <row r="171" spans="4:33" s="2" customFormat="1" ht="27" customHeight="1" x14ac:dyDescent="0.3">
      <c r="D171" s="23"/>
      <c r="AF171" s="34"/>
      <c r="AG171" s="34"/>
    </row>
    <row r="172" spans="4:33" s="2" customFormat="1" ht="27" customHeight="1" x14ac:dyDescent="0.3">
      <c r="D172" s="23"/>
      <c r="AF172" s="34"/>
      <c r="AG172" s="34"/>
    </row>
    <row r="173" spans="4:33" s="2" customFormat="1" ht="27" customHeight="1" x14ac:dyDescent="0.3">
      <c r="D173" s="23"/>
      <c r="AF173" s="34"/>
      <c r="AG173" s="34"/>
    </row>
    <row r="174" spans="4:33" s="2" customFormat="1" ht="27" customHeight="1" x14ac:dyDescent="0.3">
      <c r="D174" s="23"/>
      <c r="AF174" s="34"/>
      <c r="AG174" s="34"/>
    </row>
    <row r="175" spans="4:33" s="2" customFormat="1" ht="27" customHeight="1" x14ac:dyDescent="0.3">
      <c r="D175" s="23"/>
      <c r="AF175" s="34"/>
      <c r="AG175" s="34"/>
    </row>
    <row r="176" spans="4:33" s="2" customFormat="1" ht="27" customHeight="1" x14ac:dyDescent="0.3">
      <c r="D176" s="23"/>
      <c r="AF176" s="34"/>
      <c r="AG176" s="34"/>
    </row>
    <row r="177" spans="4:33" s="2" customFormat="1" ht="27" customHeight="1" x14ac:dyDescent="0.3">
      <c r="D177" s="23"/>
      <c r="AF177" s="34"/>
      <c r="AG177" s="34"/>
    </row>
    <row r="178" spans="4:33" s="2" customFormat="1" ht="27" customHeight="1" x14ac:dyDescent="0.3">
      <c r="D178" s="23"/>
      <c r="AF178" s="34"/>
      <c r="AG178" s="34"/>
    </row>
    <row r="179" spans="4:33" s="2" customFormat="1" ht="27" customHeight="1" x14ac:dyDescent="0.3">
      <c r="D179" s="23"/>
      <c r="AF179" s="34"/>
      <c r="AG179" s="34"/>
    </row>
    <row r="180" spans="4:33" s="2" customFormat="1" ht="27" customHeight="1" x14ac:dyDescent="0.3">
      <c r="D180" s="23"/>
      <c r="AF180" s="34"/>
      <c r="AG180" s="34"/>
    </row>
    <row r="181" spans="4:33" s="2" customFormat="1" ht="27" customHeight="1" x14ac:dyDescent="0.3">
      <c r="D181" s="23"/>
      <c r="AF181" s="34"/>
      <c r="AG181" s="34"/>
    </row>
    <row r="182" spans="4:33" s="2" customFormat="1" ht="27" customHeight="1" x14ac:dyDescent="0.3">
      <c r="D182" s="23"/>
      <c r="AF182" s="34"/>
      <c r="AG182" s="34"/>
    </row>
    <row r="183" spans="4:33" s="2" customFormat="1" ht="27" customHeight="1" x14ac:dyDescent="0.3">
      <c r="D183" s="23"/>
      <c r="AF183" s="34"/>
      <c r="AG183" s="34"/>
    </row>
    <row r="184" spans="4:33" s="2" customFormat="1" ht="27" customHeight="1" x14ac:dyDescent="0.3">
      <c r="D184" s="23"/>
      <c r="AF184" s="34"/>
      <c r="AG184" s="34"/>
    </row>
    <row r="185" spans="4:33" s="2" customFormat="1" ht="27" customHeight="1" x14ac:dyDescent="0.3">
      <c r="D185" s="23"/>
      <c r="AF185" s="34"/>
      <c r="AG185" s="34"/>
    </row>
    <row r="186" spans="4:33" s="2" customFormat="1" ht="27" customHeight="1" x14ac:dyDescent="0.3">
      <c r="D186" s="23"/>
      <c r="AF186" s="34"/>
      <c r="AG186" s="34"/>
    </row>
    <row r="187" spans="4:33" s="2" customFormat="1" ht="27" customHeight="1" x14ac:dyDescent="0.3">
      <c r="D187" s="23"/>
      <c r="AF187" s="34"/>
      <c r="AG187" s="34"/>
    </row>
    <row r="188" spans="4:33" s="2" customFormat="1" ht="27" customHeight="1" x14ac:dyDescent="0.3">
      <c r="D188" s="23"/>
      <c r="AF188" s="34"/>
      <c r="AG188" s="34"/>
    </row>
    <row r="189" spans="4:33" s="2" customFormat="1" ht="27" customHeight="1" x14ac:dyDescent="0.3">
      <c r="D189" s="23"/>
      <c r="AF189" s="34"/>
      <c r="AG189" s="34"/>
    </row>
    <row r="190" spans="4:33" s="2" customFormat="1" ht="27" customHeight="1" x14ac:dyDescent="0.3">
      <c r="D190" s="23"/>
      <c r="AF190" s="34"/>
      <c r="AG190" s="34"/>
    </row>
    <row r="191" spans="4:33" s="2" customFormat="1" ht="27" customHeight="1" x14ac:dyDescent="0.3">
      <c r="D191" s="23"/>
      <c r="AF191" s="34"/>
      <c r="AG191" s="34"/>
    </row>
    <row r="192" spans="4:33" s="2" customFormat="1" ht="27" customHeight="1" x14ac:dyDescent="0.3">
      <c r="D192" s="23"/>
      <c r="AF192" s="34"/>
      <c r="AG192" s="34"/>
    </row>
    <row r="193" spans="4:33" s="2" customFormat="1" ht="27" customHeight="1" x14ac:dyDescent="0.3">
      <c r="D193" s="23"/>
      <c r="AF193" s="34"/>
      <c r="AG193" s="34"/>
    </row>
    <row r="194" spans="4:33" s="2" customFormat="1" ht="27" customHeight="1" x14ac:dyDescent="0.3">
      <c r="D194" s="23"/>
      <c r="AF194" s="34"/>
      <c r="AG194" s="34"/>
    </row>
    <row r="195" spans="4:33" s="2" customFormat="1" ht="27" customHeight="1" x14ac:dyDescent="0.3">
      <c r="D195" s="23"/>
      <c r="AF195" s="34"/>
      <c r="AG195" s="34"/>
    </row>
    <row r="196" spans="4:33" s="2" customFormat="1" ht="27" customHeight="1" x14ac:dyDescent="0.3">
      <c r="D196" s="23"/>
      <c r="AF196" s="34"/>
      <c r="AG196" s="34"/>
    </row>
    <row r="197" spans="4:33" s="2" customFormat="1" ht="27" customHeight="1" x14ac:dyDescent="0.3">
      <c r="D197" s="23"/>
      <c r="AF197" s="34"/>
      <c r="AG197" s="34"/>
    </row>
    <row r="198" spans="4:33" s="2" customFormat="1" ht="27" customHeight="1" x14ac:dyDescent="0.3">
      <c r="D198" s="23"/>
      <c r="AF198" s="34"/>
      <c r="AG198" s="34"/>
    </row>
    <row r="199" spans="4:33" s="2" customFormat="1" ht="27" customHeight="1" x14ac:dyDescent="0.3">
      <c r="D199" s="23"/>
      <c r="AF199" s="34"/>
      <c r="AG199" s="34"/>
    </row>
    <row r="200" spans="4:33" s="2" customFormat="1" ht="27" customHeight="1" x14ac:dyDescent="0.3">
      <c r="D200" s="23"/>
      <c r="AF200" s="34"/>
      <c r="AG200" s="34"/>
    </row>
    <row r="201" spans="4:33" s="2" customFormat="1" ht="27" customHeight="1" x14ac:dyDescent="0.3">
      <c r="D201" s="23"/>
      <c r="AF201" s="34"/>
      <c r="AG201" s="34"/>
    </row>
    <row r="202" spans="4:33" s="2" customFormat="1" ht="27" customHeight="1" x14ac:dyDescent="0.3">
      <c r="D202" s="23"/>
      <c r="AF202" s="34"/>
      <c r="AG202" s="34"/>
    </row>
    <row r="203" spans="4:33" s="2" customFormat="1" ht="27" customHeight="1" x14ac:dyDescent="0.3">
      <c r="D203" s="23"/>
      <c r="AF203" s="34"/>
      <c r="AG203" s="34"/>
    </row>
    <row r="204" spans="4:33" s="2" customFormat="1" ht="27" customHeight="1" x14ac:dyDescent="0.3">
      <c r="D204" s="23"/>
      <c r="AF204" s="34"/>
      <c r="AG204" s="34"/>
    </row>
    <row r="205" spans="4:33" s="2" customFormat="1" ht="27" customHeight="1" x14ac:dyDescent="0.3">
      <c r="D205" s="23"/>
      <c r="AF205" s="34"/>
      <c r="AG205" s="34"/>
    </row>
    <row r="206" spans="4:33" s="2" customFormat="1" ht="27" customHeight="1" x14ac:dyDescent="0.3">
      <c r="D206" s="23"/>
      <c r="AF206" s="34"/>
      <c r="AG206" s="34"/>
    </row>
    <row r="207" spans="4:33" s="2" customFormat="1" ht="27" customHeight="1" x14ac:dyDescent="0.3">
      <c r="D207" s="23"/>
      <c r="AF207" s="34"/>
      <c r="AG207" s="34"/>
    </row>
    <row r="208" spans="4:33" s="2" customFormat="1" ht="27" customHeight="1" x14ac:dyDescent="0.3">
      <c r="D208" s="23"/>
      <c r="AF208" s="34"/>
      <c r="AG208" s="34"/>
    </row>
    <row r="209" spans="4:33" s="2" customFormat="1" ht="27" customHeight="1" x14ac:dyDescent="0.3">
      <c r="D209" s="23"/>
      <c r="AF209" s="34"/>
      <c r="AG209" s="34"/>
    </row>
    <row r="210" spans="4:33" s="2" customFormat="1" ht="27" customHeight="1" x14ac:dyDescent="0.3">
      <c r="D210" s="23"/>
      <c r="AF210" s="34"/>
      <c r="AG210" s="34"/>
    </row>
    <row r="211" spans="4:33" s="2" customFormat="1" ht="27" customHeight="1" x14ac:dyDescent="0.3">
      <c r="D211" s="23"/>
      <c r="AF211" s="34"/>
      <c r="AG211" s="34"/>
    </row>
    <row r="212" spans="4:33" s="2" customFormat="1" ht="27" customHeight="1" x14ac:dyDescent="0.3">
      <c r="D212" s="23"/>
      <c r="AF212" s="34"/>
      <c r="AG212" s="34"/>
    </row>
    <row r="213" spans="4:33" s="2" customFormat="1" ht="27" customHeight="1" x14ac:dyDescent="0.3">
      <c r="D213" s="23"/>
      <c r="AF213" s="34"/>
      <c r="AG213" s="34"/>
    </row>
    <row r="214" spans="4:33" s="2" customFormat="1" ht="27" customHeight="1" x14ac:dyDescent="0.3">
      <c r="D214" s="23"/>
      <c r="AF214" s="34"/>
      <c r="AG214" s="34"/>
    </row>
    <row r="215" spans="4:33" s="2" customFormat="1" ht="27" customHeight="1" x14ac:dyDescent="0.3">
      <c r="D215" s="23"/>
      <c r="AF215" s="34"/>
      <c r="AG215" s="34"/>
    </row>
    <row r="216" spans="4:33" s="2" customFormat="1" ht="27" customHeight="1" x14ac:dyDescent="0.3">
      <c r="D216" s="23"/>
      <c r="AF216" s="34"/>
      <c r="AG216" s="34"/>
    </row>
    <row r="217" spans="4:33" s="2" customFormat="1" ht="27" customHeight="1" x14ac:dyDescent="0.3">
      <c r="D217" s="23"/>
      <c r="AF217" s="34"/>
      <c r="AG217" s="34"/>
    </row>
    <row r="218" spans="4:33" s="2" customFormat="1" ht="27" customHeight="1" x14ac:dyDescent="0.3">
      <c r="D218" s="23"/>
      <c r="AF218" s="34"/>
      <c r="AG218" s="34"/>
    </row>
    <row r="219" spans="4:33" s="2" customFormat="1" ht="27" customHeight="1" x14ac:dyDescent="0.3">
      <c r="D219" s="23"/>
      <c r="AF219" s="34"/>
      <c r="AG219" s="34"/>
    </row>
    <row r="220" spans="4:33" s="2" customFormat="1" ht="27" customHeight="1" x14ac:dyDescent="0.3">
      <c r="D220" s="23"/>
      <c r="AF220" s="34"/>
      <c r="AG220" s="34"/>
    </row>
    <row r="221" spans="4:33" s="2" customFormat="1" ht="27" customHeight="1" x14ac:dyDescent="0.3">
      <c r="D221" s="23"/>
      <c r="AF221" s="34"/>
      <c r="AG221" s="34"/>
    </row>
    <row r="222" spans="4:33" s="2" customFormat="1" ht="27" customHeight="1" x14ac:dyDescent="0.3">
      <c r="D222" s="23"/>
      <c r="AF222" s="34"/>
      <c r="AG222" s="34"/>
    </row>
    <row r="223" spans="4:33" s="2" customFormat="1" ht="27" customHeight="1" x14ac:dyDescent="0.3">
      <c r="D223" s="23"/>
      <c r="AF223" s="34"/>
      <c r="AG223" s="34"/>
    </row>
    <row r="224" spans="4:33" s="2" customFormat="1" ht="27" customHeight="1" x14ac:dyDescent="0.3">
      <c r="D224" s="23"/>
      <c r="AF224" s="34"/>
      <c r="AG224" s="34"/>
    </row>
    <row r="225" spans="4:33" s="2" customFormat="1" ht="27" customHeight="1" x14ac:dyDescent="0.3">
      <c r="D225" s="23"/>
      <c r="AF225" s="34"/>
      <c r="AG225" s="34"/>
    </row>
    <row r="226" spans="4:33" s="2" customFormat="1" ht="27" customHeight="1" x14ac:dyDescent="0.3">
      <c r="D226" s="23"/>
      <c r="AF226" s="34"/>
      <c r="AG226" s="34"/>
    </row>
    <row r="227" spans="4:33" s="2" customFormat="1" ht="27" customHeight="1" x14ac:dyDescent="0.3">
      <c r="D227" s="23"/>
      <c r="AF227" s="34"/>
      <c r="AG227" s="34"/>
    </row>
    <row r="228" spans="4:33" s="2" customFormat="1" ht="27" customHeight="1" x14ac:dyDescent="0.3">
      <c r="D228" s="23"/>
      <c r="AF228" s="34"/>
      <c r="AG228" s="34"/>
    </row>
    <row r="229" spans="4:33" s="2" customFormat="1" ht="27" customHeight="1" x14ac:dyDescent="0.3">
      <c r="D229" s="23"/>
      <c r="AF229" s="34"/>
      <c r="AG229" s="34"/>
    </row>
    <row r="230" spans="4:33" s="2" customFormat="1" ht="27" customHeight="1" x14ac:dyDescent="0.3">
      <c r="D230" s="23"/>
      <c r="AF230" s="34"/>
      <c r="AG230" s="34"/>
    </row>
    <row r="231" spans="4:33" s="2" customFormat="1" ht="27" customHeight="1" x14ac:dyDescent="0.3">
      <c r="D231" s="23"/>
      <c r="AF231" s="34"/>
      <c r="AG231" s="34"/>
    </row>
    <row r="232" spans="4:33" s="2" customFormat="1" ht="27" customHeight="1" x14ac:dyDescent="0.3">
      <c r="D232" s="23"/>
      <c r="AF232" s="34"/>
      <c r="AG232" s="34"/>
    </row>
    <row r="233" spans="4:33" s="2" customFormat="1" ht="27" customHeight="1" x14ac:dyDescent="0.3">
      <c r="D233" s="23"/>
      <c r="AF233" s="34"/>
      <c r="AG233" s="34"/>
    </row>
    <row r="234" spans="4:33" s="2" customFormat="1" ht="27" customHeight="1" x14ac:dyDescent="0.3">
      <c r="D234" s="23"/>
      <c r="AF234" s="34"/>
      <c r="AG234" s="34"/>
    </row>
    <row r="235" spans="4:33" s="2" customFormat="1" ht="27" customHeight="1" x14ac:dyDescent="0.3">
      <c r="D235" s="23"/>
      <c r="AF235" s="34"/>
      <c r="AG235" s="34"/>
    </row>
    <row r="236" spans="4:33" s="2" customFormat="1" ht="27" customHeight="1" x14ac:dyDescent="0.3">
      <c r="D236" s="23"/>
      <c r="AF236" s="34"/>
      <c r="AG236" s="34"/>
    </row>
    <row r="237" spans="4:33" s="2" customFormat="1" ht="27" customHeight="1" x14ac:dyDescent="0.3">
      <c r="D237" s="23"/>
      <c r="AF237" s="34"/>
      <c r="AG237" s="34"/>
    </row>
    <row r="238" spans="4:33" s="2" customFormat="1" ht="27" customHeight="1" x14ac:dyDescent="0.3">
      <c r="D238" s="23"/>
      <c r="AF238" s="34"/>
      <c r="AG238" s="34"/>
    </row>
    <row r="239" spans="4:33" s="2" customFormat="1" ht="27" customHeight="1" x14ac:dyDescent="0.3">
      <c r="D239" s="23"/>
      <c r="AF239" s="34"/>
      <c r="AG239" s="34"/>
    </row>
    <row r="240" spans="4:33" s="2" customFormat="1" ht="27" customHeight="1" x14ac:dyDescent="0.3">
      <c r="D240" s="23"/>
      <c r="AF240" s="34"/>
      <c r="AG240" s="34"/>
    </row>
    <row r="241" spans="4:33" s="2" customFormat="1" ht="27" customHeight="1" x14ac:dyDescent="0.3">
      <c r="D241" s="23"/>
      <c r="AF241" s="34"/>
      <c r="AG241" s="34"/>
    </row>
    <row r="242" spans="4:33" s="2" customFormat="1" ht="27" customHeight="1" x14ac:dyDescent="0.3">
      <c r="D242" s="23"/>
      <c r="AF242" s="34"/>
      <c r="AG242" s="34"/>
    </row>
    <row r="243" spans="4:33" s="2" customFormat="1" ht="27" customHeight="1" x14ac:dyDescent="0.3">
      <c r="D243" s="23"/>
      <c r="AF243" s="34"/>
      <c r="AG243" s="34"/>
    </row>
    <row r="244" spans="4:33" s="2" customFormat="1" ht="27" customHeight="1" x14ac:dyDescent="0.3">
      <c r="D244" s="23"/>
      <c r="AF244" s="34"/>
      <c r="AG244" s="34"/>
    </row>
    <row r="245" spans="4:33" s="2" customFormat="1" ht="27" customHeight="1" x14ac:dyDescent="0.3">
      <c r="D245" s="23"/>
      <c r="AF245" s="34"/>
      <c r="AG245" s="34"/>
    </row>
    <row r="246" spans="4:33" s="2" customFormat="1" ht="27" customHeight="1" x14ac:dyDescent="0.3">
      <c r="D246" s="23"/>
      <c r="AF246" s="34"/>
      <c r="AG246" s="34"/>
    </row>
    <row r="247" spans="4:33" s="2" customFormat="1" ht="27" customHeight="1" x14ac:dyDescent="0.3">
      <c r="D247" s="23"/>
      <c r="AF247" s="34"/>
      <c r="AG247" s="34"/>
    </row>
    <row r="248" spans="4:33" s="2" customFormat="1" ht="27" customHeight="1" x14ac:dyDescent="0.3">
      <c r="D248" s="23"/>
      <c r="AF248" s="34"/>
      <c r="AG248" s="34"/>
    </row>
    <row r="249" spans="4:33" s="2" customFormat="1" ht="27" customHeight="1" x14ac:dyDescent="0.3">
      <c r="D249" s="23"/>
      <c r="AF249" s="34"/>
      <c r="AG249" s="34"/>
    </row>
    <row r="250" spans="4:33" s="2" customFormat="1" ht="27" customHeight="1" x14ac:dyDescent="0.3">
      <c r="D250" s="23"/>
      <c r="AF250" s="34"/>
      <c r="AG250" s="34"/>
    </row>
    <row r="251" spans="4:33" s="2" customFormat="1" ht="27" customHeight="1" x14ac:dyDescent="0.3">
      <c r="D251" s="23"/>
      <c r="AF251" s="34"/>
      <c r="AG251" s="34"/>
    </row>
    <row r="252" spans="4:33" s="2" customFormat="1" ht="27" customHeight="1" x14ac:dyDescent="0.3">
      <c r="D252" s="23"/>
      <c r="AF252" s="34"/>
      <c r="AG252" s="34"/>
    </row>
    <row r="253" spans="4:33" s="2" customFormat="1" ht="27" customHeight="1" x14ac:dyDescent="0.3">
      <c r="D253" s="23"/>
      <c r="AF253" s="34"/>
      <c r="AG253" s="34"/>
    </row>
    <row r="254" spans="4:33" s="2" customFormat="1" ht="27" customHeight="1" x14ac:dyDescent="0.3">
      <c r="D254" s="23"/>
      <c r="AF254" s="34"/>
      <c r="AG254" s="34"/>
    </row>
    <row r="255" spans="4:33" s="2" customFormat="1" ht="27" customHeight="1" x14ac:dyDescent="0.3">
      <c r="D255" s="23"/>
      <c r="AF255" s="34"/>
      <c r="AG255" s="34"/>
    </row>
    <row r="256" spans="4:33" s="2" customFormat="1" ht="27" customHeight="1" x14ac:dyDescent="0.3">
      <c r="D256" s="23"/>
      <c r="AF256" s="34"/>
      <c r="AG256" s="34"/>
    </row>
    <row r="257" spans="4:33" s="2" customFormat="1" ht="27" customHeight="1" x14ac:dyDescent="0.3">
      <c r="D257" s="23"/>
      <c r="AF257" s="34"/>
      <c r="AG257" s="34"/>
    </row>
    <row r="258" spans="4:33" s="2" customFormat="1" ht="27" customHeight="1" x14ac:dyDescent="0.3">
      <c r="D258" s="23"/>
      <c r="AF258" s="34"/>
      <c r="AG258" s="34"/>
    </row>
    <row r="259" spans="4:33" s="2" customFormat="1" ht="27" customHeight="1" x14ac:dyDescent="0.3">
      <c r="D259" s="23"/>
      <c r="AF259" s="34"/>
      <c r="AG259" s="34"/>
    </row>
    <row r="260" spans="4:33" s="2" customFormat="1" ht="27" customHeight="1" x14ac:dyDescent="0.3">
      <c r="D260" s="23"/>
      <c r="AF260" s="34"/>
      <c r="AG260" s="34"/>
    </row>
    <row r="261" spans="4:33" s="2" customFormat="1" ht="27" customHeight="1" x14ac:dyDescent="0.3">
      <c r="D261" s="23"/>
      <c r="AF261" s="34"/>
      <c r="AG261" s="34"/>
    </row>
    <row r="262" spans="4:33" s="2" customFormat="1" ht="27" customHeight="1" x14ac:dyDescent="0.3">
      <c r="D262" s="23"/>
      <c r="AF262" s="34"/>
      <c r="AG262" s="34"/>
    </row>
    <row r="263" spans="4:33" s="2" customFormat="1" ht="27" customHeight="1" x14ac:dyDescent="0.3">
      <c r="D263" s="23"/>
      <c r="AF263" s="34"/>
      <c r="AG263" s="34"/>
    </row>
    <row r="264" spans="4:33" s="2" customFormat="1" ht="27" customHeight="1" x14ac:dyDescent="0.3">
      <c r="D264" s="23"/>
      <c r="AF264" s="34"/>
      <c r="AG264" s="34"/>
    </row>
    <row r="265" spans="4:33" s="2" customFormat="1" ht="27" customHeight="1" x14ac:dyDescent="0.3">
      <c r="D265" s="23"/>
      <c r="AF265" s="34"/>
      <c r="AG265" s="34"/>
    </row>
    <row r="266" spans="4:33" s="2" customFormat="1" ht="27" customHeight="1" x14ac:dyDescent="0.3">
      <c r="D266" s="23"/>
      <c r="AF266" s="34"/>
      <c r="AG266" s="34"/>
    </row>
    <row r="267" spans="4:33" s="2" customFormat="1" ht="27" customHeight="1" x14ac:dyDescent="0.3">
      <c r="D267" s="23"/>
      <c r="AF267" s="34"/>
      <c r="AG267" s="34"/>
    </row>
    <row r="268" spans="4:33" s="2" customFormat="1" ht="27" customHeight="1" x14ac:dyDescent="0.3">
      <c r="D268" s="23"/>
      <c r="AF268" s="34"/>
      <c r="AG268" s="34"/>
    </row>
    <row r="269" spans="4:33" s="2" customFormat="1" ht="27" customHeight="1" x14ac:dyDescent="0.3">
      <c r="D269" s="23"/>
      <c r="AF269" s="34"/>
      <c r="AG269" s="34"/>
    </row>
    <row r="270" spans="4:33" s="2" customFormat="1" ht="27" customHeight="1" x14ac:dyDescent="0.3">
      <c r="D270" s="23"/>
      <c r="AF270" s="34"/>
      <c r="AG270" s="34"/>
    </row>
    <row r="271" spans="4:33" s="2" customFormat="1" ht="27" customHeight="1" x14ac:dyDescent="0.3">
      <c r="D271" s="23"/>
      <c r="AF271" s="34"/>
      <c r="AG271" s="34"/>
    </row>
    <row r="272" spans="4:33" s="2" customFormat="1" ht="27" customHeight="1" x14ac:dyDescent="0.3">
      <c r="D272" s="23"/>
      <c r="AF272" s="34"/>
      <c r="AG272" s="34"/>
    </row>
    <row r="273" spans="4:33" s="2" customFormat="1" ht="27" customHeight="1" x14ac:dyDescent="0.3">
      <c r="D273" s="23"/>
      <c r="AF273" s="34"/>
      <c r="AG273" s="34"/>
    </row>
    <row r="274" spans="4:33" s="2" customFormat="1" ht="27" customHeight="1" x14ac:dyDescent="0.3">
      <c r="D274" s="23"/>
      <c r="AF274" s="34"/>
      <c r="AG274" s="34"/>
    </row>
    <row r="275" spans="4:33" s="2" customFormat="1" ht="27" customHeight="1" x14ac:dyDescent="0.3">
      <c r="D275" s="23"/>
      <c r="AF275" s="34"/>
      <c r="AG275" s="34"/>
    </row>
    <row r="276" spans="4:33" s="2" customFormat="1" ht="27" customHeight="1" x14ac:dyDescent="0.3">
      <c r="D276" s="23"/>
      <c r="AF276" s="34"/>
      <c r="AG276" s="34"/>
    </row>
    <row r="277" spans="4:33" s="2" customFormat="1" ht="27" customHeight="1" x14ac:dyDescent="0.3">
      <c r="D277" s="23"/>
      <c r="AF277" s="34"/>
      <c r="AG277" s="34"/>
    </row>
    <row r="278" spans="4:33" s="2" customFormat="1" ht="27" customHeight="1" x14ac:dyDescent="0.3">
      <c r="D278" s="23"/>
      <c r="AF278" s="34"/>
      <c r="AG278" s="34"/>
    </row>
    <row r="279" spans="4:33" s="2" customFormat="1" ht="27" customHeight="1" x14ac:dyDescent="0.3">
      <c r="D279" s="23"/>
      <c r="AF279" s="34"/>
      <c r="AG279" s="34"/>
    </row>
    <row r="280" spans="4:33" s="2" customFormat="1" ht="27" customHeight="1" x14ac:dyDescent="0.3">
      <c r="D280" s="23"/>
      <c r="AF280" s="34"/>
      <c r="AG280" s="34"/>
    </row>
    <row r="281" spans="4:33" s="2" customFormat="1" ht="27" customHeight="1" x14ac:dyDescent="0.3">
      <c r="D281" s="23"/>
      <c r="AF281" s="34"/>
      <c r="AG281" s="34"/>
    </row>
    <row r="282" spans="4:33" s="2" customFormat="1" ht="27" customHeight="1" x14ac:dyDescent="0.3">
      <c r="D282" s="23"/>
      <c r="AF282" s="34"/>
      <c r="AG282" s="34"/>
    </row>
    <row r="283" spans="4:33" s="2" customFormat="1" ht="27" customHeight="1" x14ac:dyDescent="0.3">
      <c r="D283" s="23"/>
      <c r="AF283" s="34"/>
      <c r="AG283" s="34"/>
    </row>
    <row r="284" spans="4:33" s="2" customFormat="1" ht="27" customHeight="1" x14ac:dyDescent="0.3">
      <c r="D284" s="23"/>
      <c r="AF284" s="34"/>
      <c r="AG284" s="34"/>
    </row>
    <row r="285" spans="4:33" s="2" customFormat="1" ht="27" customHeight="1" x14ac:dyDescent="0.3">
      <c r="D285" s="23"/>
      <c r="AF285" s="34"/>
      <c r="AG285" s="34"/>
    </row>
    <row r="286" spans="4:33" s="2" customFormat="1" ht="27" customHeight="1" x14ac:dyDescent="0.3">
      <c r="D286" s="23"/>
      <c r="AF286" s="34"/>
      <c r="AG286" s="34"/>
    </row>
    <row r="287" spans="4:33" s="2" customFormat="1" ht="27" customHeight="1" x14ac:dyDescent="0.3">
      <c r="D287" s="23"/>
      <c r="AF287" s="34"/>
      <c r="AG287" s="34"/>
    </row>
    <row r="288" spans="4:33" s="2" customFormat="1" ht="27" customHeight="1" x14ac:dyDescent="0.3">
      <c r="D288" s="23"/>
      <c r="AF288" s="34"/>
      <c r="AG288" s="34"/>
    </row>
    <row r="289" spans="4:33" s="2" customFormat="1" ht="27" customHeight="1" x14ac:dyDescent="0.3">
      <c r="D289" s="23"/>
      <c r="AF289" s="34"/>
      <c r="AG289" s="34"/>
    </row>
    <row r="290" spans="4:33" s="2" customFormat="1" ht="27" customHeight="1" x14ac:dyDescent="0.3">
      <c r="D290" s="23"/>
      <c r="AF290" s="34"/>
      <c r="AG290" s="34"/>
    </row>
    <row r="291" spans="4:33" s="2" customFormat="1" ht="27" customHeight="1" x14ac:dyDescent="0.3">
      <c r="D291" s="23"/>
      <c r="AF291" s="34"/>
      <c r="AG291" s="34"/>
    </row>
    <row r="292" spans="4:33" s="2" customFormat="1" ht="27" customHeight="1" x14ac:dyDescent="0.3">
      <c r="D292" s="23"/>
      <c r="AF292" s="34"/>
      <c r="AG292" s="34"/>
    </row>
    <row r="293" spans="4:33" s="2" customFormat="1" ht="27" customHeight="1" x14ac:dyDescent="0.3">
      <c r="D293" s="23"/>
      <c r="AF293" s="34"/>
      <c r="AG293" s="34"/>
    </row>
    <row r="294" spans="4:33" s="2" customFormat="1" ht="27" customHeight="1" x14ac:dyDescent="0.3">
      <c r="D294" s="23"/>
      <c r="AF294" s="34"/>
      <c r="AG294" s="34"/>
    </row>
    <row r="295" spans="4:33" s="2" customFormat="1" ht="27" customHeight="1" x14ac:dyDescent="0.3">
      <c r="D295" s="23"/>
      <c r="AF295" s="34"/>
      <c r="AG295" s="34"/>
    </row>
    <row r="296" spans="4:33" s="2" customFormat="1" ht="27" customHeight="1" x14ac:dyDescent="0.3">
      <c r="D296" s="23"/>
      <c r="AF296" s="34"/>
      <c r="AG296" s="34"/>
    </row>
    <row r="297" spans="4:33" s="2" customFormat="1" ht="27" customHeight="1" x14ac:dyDescent="0.3">
      <c r="D297" s="23"/>
      <c r="AF297" s="34"/>
      <c r="AG297" s="34"/>
    </row>
    <row r="298" spans="4:33" s="2" customFormat="1" ht="27" customHeight="1" x14ac:dyDescent="0.3">
      <c r="D298" s="23"/>
      <c r="AF298" s="34"/>
      <c r="AG298" s="34"/>
    </row>
    <row r="299" spans="4:33" s="2" customFormat="1" ht="27" customHeight="1" x14ac:dyDescent="0.3">
      <c r="D299" s="23"/>
      <c r="AF299" s="34"/>
      <c r="AG299" s="34"/>
    </row>
    <row r="300" spans="4:33" s="2" customFormat="1" ht="27" customHeight="1" x14ac:dyDescent="0.3">
      <c r="D300" s="23"/>
      <c r="AF300" s="34"/>
      <c r="AG300" s="34"/>
    </row>
    <row r="301" spans="4:33" s="2" customFormat="1" ht="27" customHeight="1" x14ac:dyDescent="0.3">
      <c r="D301" s="23"/>
      <c r="AF301" s="34"/>
      <c r="AG301" s="34"/>
    </row>
    <row r="302" spans="4:33" s="2" customFormat="1" ht="27" customHeight="1" x14ac:dyDescent="0.3">
      <c r="D302" s="23"/>
      <c r="AF302" s="34"/>
      <c r="AG302" s="34"/>
    </row>
    <row r="303" spans="4:33" s="2" customFormat="1" ht="27" customHeight="1" x14ac:dyDescent="0.3">
      <c r="D303" s="23"/>
      <c r="AF303" s="34"/>
      <c r="AG303" s="34"/>
    </row>
    <row r="304" spans="4:33" s="2" customFormat="1" ht="27" customHeight="1" x14ac:dyDescent="0.3">
      <c r="D304" s="23"/>
      <c r="AF304" s="34"/>
      <c r="AG304" s="34"/>
    </row>
    <row r="305" spans="4:33" s="2" customFormat="1" ht="27" customHeight="1" x14ac:dyDescent="0.3">
      <c r="D305" s="23"/>
      <c r="AF305" s="34"/>
      <c r="AG305" s="34"/>
    </row>
    <row r="306" spans="4:33" s="2" customFormat="1" ht="27" customHeight="1" x14ac:dyDescent="0.3">
      <c r="D306" s="23"/>
      <c r="AF306" s="34"/>
      <c r="AG306" s="34"/>
    </row>
    <row r="307" spans="4:33" s="2" customFormat="1" ht="27" customHeight="1" x14ac:dyDescent="0.3">
      <c r="D307" s="23"/>
      <c r="AF307" s="34"/>
      <c r="AG307" s="34"/>
    </row>
    <row r="308" spans="4:33" s="2" customFormat="1" ht="27" customHeight="1" x14ac:dyDescent="0.3">
      <c r="D308" s="23"/>
      <c r="AF308" s="34"/>
      <c r="AG308" s="34"/>
    </row>
    <row r="309" spans="4:33" s="2" customFormat="1" ht="27" customHeight="1" x14ac:dyDescent="0.3">
      <c r="D309" s="23"/>
      <c r="AF309" s="34"/>
      <c r="AG309" s="34"/>
    </row>
    <row r="310" spans="4:33" s="2" customFormat="1" ht="27" customHeight="1" x14ac:dyDescent="0.3">
      <c r="D310" s="23"/>
      <c r="AF310" s="34"/>
      <c r="AG310" s="34"/>
    </row>
    <row r="311" spans="4:33" s="2" customFormat="1" ht="27" customHeight="1" x14ac:dyDescent="0.3">
      <c r="D311" s="23"/>
      <c r="AF311" s="34"/>
      <c r="AG311" s="34"/>
    </row>
    <row r="312" spans="4:33" s="2" customFormat="1" ht="27" customHeight="1" x14ac:dyDescent="0.3">
      <c r="D312" s="23"/>
      <c r="AF312" s="34"/>
      <c r="AG312" s="34"/>
    </row>
    <row r="313" spans="4:33" s="2" customFormat="1" ht="27" customHeight="1" x14ac:dyDescent="0.3">
      <c r="D313" s="23"/>
      <c r="AF313" s="34"/>
      <c r="AG313" s="34"/>
    </row>
    <row r="314" spans="4:33" s="2" customFormat="1" ht="27" customHeight="1" x14ac:dyDescent="0.3">
      <c r="D314" s="23"/>
      <c r="AF314" s="34"/>
      <c r="AG314" s="34"/>
    </row>
    <row r="315" spans="4:33" s="2" customFormat="1" ht="27" customHeight="1" x14ac:dyDescent="0.3">
      <c r="D315" s="23"/>
      <c r="AF315" s="34"/>
      <c r="AG315" s="34"/>
    </row>
    <row r="316" spans="4:33" s="2" customFormat="1" ht="27" customHeight="1" x14ac:dyDescent="0.3">
      <c r="D316" s="23"/>
      <c r="AF316" s="34"/>
      <c r="AG316" s="34"/>
    </row>
    <row r="317" spans="4:33" s="2" customFormat="1" ht="27" customHeight="1" x14ac:dyDescent="0.3">
      <c r="D317" s="23"/>
      <c r="AF317" s="34"/>
      <c r="AG317" s="34"/>
    </row>
    <row r="318" spans="4:33" s="2" customFormat="1" ht="27" customHeight="1" x14ac:dyDescent="0.3">
      <c r="D318" s="23"/>
      <c r="AF318" s="34"/>
      <c r="AG318" s="34"/>
    </row>
    <row r="319" spans="4:33" s="2" customFormat="1" ht="27" customHeight="1" x14ac:dyDescent="0.3">
      <c r="D319" s="23"/>
      <c r="AF319" s="34"/>
      <c r="AG319" s="34"/>
    </row>
    <row r="320" spans="4:33" s="2" customFormat="1" ht="27" customHeight="1" x14ac:dyDescent="0.3">
      <c r="D320" s="23"/>
      <c r="AF320" s="34"/>
      <c r="AG320" s="34"/>
    </row>
    <row r="321" spans="4:33" s="2" customFormat="1" ht="27" customHeight="1" x14ac:dyDescent="0.3">
      <c r="D321" s="23"/>
      <c r="AF321" s="34"/>
      <c r="AG321" s="34"/>
    </row>
    <row r="322" spans="4:33" s="2" customFormat="1" ht="27" customHeight="1" x14ac:dyDescent="0.3">
      <c r="D322" s="23"/>
      <c r="AF322" s="34"/>
      <c r="AG322" s="34"/>
    </row>
    <row r="323" spans="4:33" s="2" customFormat="1" ht="27" customHeight="1" x14ac:dyDescent="0.3">
      <c r="D323" s="23"/>
      <c r="AF323" s="34"/>
      <c r="AG323" s="34"/>
    </row>
    <row r="324" spans="4:33" s="2" customFormat="1" ht="27" customHeight="1" x14ac:dyDescent="0.3">
      <c r="D324" s="23"/>
      <c r="AF324" s="34"/>
      <c r="AG324" s="34"/>
    </row>
    <row r="325" spans="4:33" s="2" customFormat="1" ht="27" customHeight="1" x14ac:dyDescent="0.3">
      <c r="D325" s="23"/>
      <c r="AF325" s="34"/>
      <c r="AG325" s="34"/>
    </row>
    <row r="326" spans="4:33" s="2" customFormat="1" ht="27" customHeight="1" x14ac:dyDescent="0.3">
      <c r="D326" s="23"/>
      <c r="AF326" s="34"/>
      <c r="AG326" s="34"/>
    </row>
    <row r="327" spans="4:33" s="2" customFormat="1" ht="27" customHeight="1" x14ac:dyDescent="0.3">
      <c r="D327" s="23"/>
      <c r="AF327" s="34"/>
      <c r="AG327" s="34"/>
    </row>
    <row r="328" spans="4:33" s="2" customFormat="1" ht="27" customHeight="1" x14ac:dyDescent="0.3">
      <c r="D328" s="23"/>
      <c r="AF328" s="34"/>
      <c r="AG328" s="34"/>
    </row>
    <row r="329" spans="4:33" s="2" customFormat="1" ht="27" customHeight="1" x14ac:dyDescent="0.3">
      <c r="D329" s="23"/>
      <c r="AF329" s="34"/>
      <c r="AG329" s="34"/>
    </row>
    <row r="330" spans="4:33" s="2" customFormat="1" ht="27" customHeight="1" x14ac:dyDescent="0.3">
      <c r="D330" s="23"/>
      <c r="AF330" s="34"/>
      <c r="AG330" s="34"/>
    </row>
    <row r="331" spans="4:33" s="2" customFormat="1" ht="27" customHeight="1" x14ac:dyDescent="0.3">
      <c r="D331" s="23"/>
      <c r="AF331" s="34"/>
      <c r="AG331" s="34"/>
    </row>
    <row r="332" spans="4:33" s="2" customFormat="1" ht="27" customHeight="1" x14ac:dyDescent="0.3">
      <c r="D332" s="23"/>
      <c r="AF332" s="34"/>
      <c r="AG332" s="34"/>
    </row>
    <row r="333" spans="4:33" s="2" customFormat="1" ht="27" customHeight="1" x14ac:dyDescent="0.3">
      <c r="D333" s="23"/>
      <c r="AF333" s="34"/>
      <c r="AG333" s="34"/>
    </row>
    <row r="334" spans="4:33" s="2" customFormat="1" ht="27" customHeight="1" x14ac:dyDescent="0.3">
      <c r="D334" s="23"/>
      <c r="AF334" s="34"/>
      <c r="AG334" s="34"/>
    </row>
    <row r="335" spans="4:33" s="2" customFormat="1" ht="27" customHeight="1" x14ac:dyDescent="0.3">
      <c r="D335" s="23"/>
      <c r="AF335" s="34"/>
      <c r="AG335" s="34"/>
    </row>
    <row r="336" spans="4:33" s="2" customFormat="1" ht="27" customHeight="1" x14ac:dyDescent="0.3">
      <c r="D336" s="23"/>
      <c r="AF336" s="34"/>
      <c r="AG336" s="34"/>
    </row>
    <row r="337" spans="4:33" s="2" customFormat="1" ht="27" customHeight="1" x14ac:dyDescent="0.3">
      <c r="D337" s="23"/>
      <c r="AF337" s="34"/>
      <c r="AG337" s="34"/>
    </row>
    <row r="338" spans="4:33" s="2" customFormat="1" ht="27" customHeight="1" x14ac:dyDescent="0.3">
      <c r="D338" s="23"/>
      <c r="AF338" s="34"/>
      <c r="AG338" s="34"/>
    </row>
    <row r="339" spans="4:33" s="2" customFormat="1" ht="27" customHeight="1" x14ac:dyDescent="0.3">
      <c r="D339" s="23"/>
      <c r="AF339" s="34"/>
      <c r="AG339" s="34"/>
    </row>
    <row r="340" spans="4:33" s="2" customFormat="1" ht="27" customHeight="1" x14ac:dyDescent="0.3">
      <c r="D340" s="23"/>
      <c r="AF340" s="34"/>
      <c r="AG340" s="34"/>
    </row>
    <row r="341" spans="4:33" s="2" customFormat="1" ht="27" customHeight="1" x14ac:dyDescent="0.3">
      <c r="D341" s="23"/>
      <c r="AF341" s="34"/>
      <c r="AG341" s="34"/>
    </row>
    <row r="342" spans="4:33" s="2" customFormat="1" ht="27" customHeight="1" x14ac:dyDescent="0.3">
      <c r="D342" s="23"/>
      <c r="AF342" s="34"/>
      <c r="AG342" s="34"/>
    </row>
    <row r="343" spans="4:33" s="2" customFormat="1" ht="27" customHeight="1" x14ac:dyDescent="0.3">
      <c r="D343" s="23"/>
      <c r="AF343" s="34"/>
      <c r="AG343" s="34"/>
    </row>
    <row r="344" spans="4:33" s="2" customFormat="1" ht="27" customHeight="1" x14ac:dyDescent="0.3">
      <c r="D344" s="23"/>
      <c r="AF344" s="34"/>
      <c r="AG344" s="34"/>
    </row>
    <row r="345" spans="4:33" s="2" customFormat="1" ht="27" customHeight="1" x14ac:dyDescent="0.3">
      <c r="D345" s="23"/>
      <c r="AF345" s="34"/>
      <c r="AG345" s="34"/>
    </row>
    <row r="346" spans="4:33" s="2" customFormat="1" ht="27" customHeight="1" x14ac:dyDescent="0.3">
      <c r="D346" s="23"/>
      <c r="AF346" s="34"/>
      <c r="AG346" s="34"/>
    </row>
    <row r="347" spans="4:33" s="2" customFormat="1" ht="27" customHeight="1" x14ac:dyDescent="0.3">
      <c r="D347" s="23"/>
      <c r="AF347" s="34"/>
      <c r="AG347" s="34"/>
    </row>
    <row r="348" spans="4:33" s="2" customFormat="1" ht="27" customHeight="1" x14ac:dyDescent="0.3">
      <c r="D348" s="23"/>
      <c r="AF348" s="34"/>
      <c r="AG348" s="34"/>
    </row>
    <row r="349" spans="4:33" s="2" customFormat="1" ht="27" customHeight="1" x14ac:dyDescent="0.3">
      <c r="D349" s="23"/>
      <c r="AF349" s="34"/>
      <c r="AG349" s="34"/>
    </row>
    <row r="350" spans="4:33" s="2" customFormat="1" ht="27" customHeight="1" x14ac:dyDescent="0.3">
      <c r="D350" s="23"/>
      <c r="AF350" s="34"/>
      <c r="AG350" s="34"/>
    </row>
    <row r="351" spans="4:33" s="2" customFormat="1" ht="27" customHeight="1" x14ac:dyDescent="0.3">
      <c r="D351" s="23"/>
      <c r="AF351" s="34"/>
      <c r="AG351" s="34"/>
    </row>
    <row r="352" spans="4:33" s="2" customFormat="1" ht="27" customHeight="1" x14ac:dyDescent="0.3">
      <c r="D352" s="23"/>
      <c r="AF352" s="34"/>
      <c r="AG352" s="34"/>
    </row>
    <row r="353" spans="4:33" s="2" customFormat="1" ht="27" customHeight="1" x14ac:dyDescent="0.3">
      <c r="D353" s="23"/>
      <c r="AF353" s="34"/>
      <c r="AG353" s="34"/>
    </row>
    <row r="354" spans="4:33" s="2" customFormat="1" ht="27" customHeight="1" x14ac:dyDescent="0.3">
      <c r="D354" s="23"/>
      <c r="AF354" s="34"/>
      <c r="AG354" s="34"/>
    </row>
    <row r="355" spans="4:33" s="2" customFormat="1" ht="27" customHeight="1" x14ac:dyDescent="0.3">
      <c r="D355" s="23"/>
      <c r="AF355" s="34"/>
      <c r="AG355" s="34"/>
    </row>
    <row r="356" spans="4:33" s="2" customFormat="1" ht="27" customHeight="1" x14ac:dyDescent="0.3">
      <c r="D356" s="23"/>
      <c r="AF356" s="34"/>
      <c r="AG356" s="34"/>
    </row>
    <row r="357" spans="4:33" s="2" customFormat="1" ht="27" customHeight="1" x14ac:dyDescent="0.3">
      <c r="D357" s="23"/>
      <c r="AF357" s="34"/>
      <c r="AG357" s="34"/>
    </row>
    <row r="358" spans="4:33" s="2" customFormat="1" ht="27" customHeight="1" x14ac:dyDescent="0.3">
      <c r="D358" s="23"/>
      <c r="AF358" s="34"/>
      <c r="AG358" s="34"/>
    </row>
    <row r="359" spans="4:33" s="2" customFormat="1" ht="27" customHeight="1" x14ac:dyDescent="0.3">
      <c r="D359" s="23"/>
      <c r="AF359" s="34"/>
      <c r="AG359" s="34"/>
    </row>
    <row r="360" spans="4:33" s="2" customFormat="1" ht="27" customHeight="1" x14ac:dyDescent="0.3">
      <c r="D360" s="23"/>
      <c r="AF360" s="34"/>
      <c r="AG360" s="34"/>
    </row>
    <row r="361" spans="4:33" s="2" customFormat="1" ht="27" customHeight="1" x14ac:dyDescent="0.3">
      <c r="D361" s="23"/>
      <c r="AF361" s="34"/>
      <c r="AG361" s="34"/>
    </row>
    <row r="362" spans="4:33" s="2" customFormat="1" ht="27" customHeight="1" x14ac:dyDescent="0.3">
      <c r="D362" s="23"/>
      <c r="AF362" s="34"/>
      <c r="AG362" s="34"/>
    </row>
    <row r="363" spans="4:33" s="2" customFormat="1" ht="27" customHeight="1" x14ac:dyDescent="0.3">
      <c r="D363" s="23"/>
      <c r="AF363" s="34"/>
      <c r="AG363" s="34"/>
    </row>
    <row r="364" spans="4:33" s="2" customFormat="1" ht="27" customHeight="1" x14ac:dyDescent="0.3">
      <c r="D364" s="23"/>
      <c r="AF364" s="34"/>
      <c r="AG364" s="34"/>
    </row>
    <row r="365" spans="4:33" s="2" customFormat="1" ht="27" customHeight="1" x14ac:dyDescent="0.3">
      <c r="D365" s="23"/>
      <c r="AF365" s="34"/>
      <c r="AG365" s="34"/>
    </row>
    <row r="366" spans="4:33" s="2" customFormat="1" ht="27" customHeight="1" x14ac:dyDescent="0.3">
      <c r="D366" s="23"/>
      <c r="AF366" s="34"/>
      <c r="AG366" s="34"/>
    </row>
    <row r="367" spans="4:33" s="2" customFormat="1" ht="27" customHeight="1" x14ac:dyDescent="0.3">
      <c r="D367" s="23"/>
      <c r="AF367" s="34"/>
      <c r="AG367" s="34"/>
    </row>
    <row r="368" spans="4:33" s="2" customFormat="1" ht="27" customHeight="1" x14ac:dyDescent="0.3">
      <c r="D368" s="23"/>
      <c r="AF368" s="34"/>
      <c r="AG368" s="34"/>
    </row>
    <row r="369" spans="4:33" s="2" customFormat="1" ht="27" customHeight="1" x14ac:dyDescent="0.3">
      <c r="D369" s="23"/>
      <c r="AF369" s="34"/>
      <c r="AG369" s="34"/>
    </row>
    <row r="370" spans="4:33" s="2" customFormat="1" ht="27" customHeight="1" x14ac:dyDescent="0.3">
      <c r="D370" s="23"/>
      <c r="AF370" s="34"/>
      <c r="AG370" s="34"/>
    </row>
    <row r="371" spans="4:33" s="2" customFormat="1" ht="27" customHeight="1" x14ac:dyDescent="0.3">
      <c r="D371" s="23"/>
      <c r="AF371" s="34"/>
      <c r="AG371" s="34"/>
    </row>
    <row r="372" spans="4:33" s="2" customFormat="1" ht="27" customHeight="1" x14ac:dyDescent="0.3">
      <c r="D372" s="23"/>
      <c r="AF372" s="34"/>
      <c r="AG372" s="34"/>
    </row>
    <row r="373" spans="4:33" s="2" customFormat="1" ht="27" customHeight="1" x14ac:dyDescent="0.3">
      <c r="D373" s="23"/>
      <c r="AF373" s="34"/>
      <c r="AG373" s="34"/>
    </row>
    <row r="374" spans="4:33" s="2" customFormat="1" ht="27" customHeight="1" x14ac:dyDescent="0.3">
      <c r="D374" s="23"/>
      <c r="AF374" s="34"/>
      <c r="AG374" s="34"/>
    </row>
    <row r="375" spans="4:33" s="2" customFormat="1" ht="27" customHeight="1" x14ac:dyDescent="0.3">
      <c r="D375" s="23"/>
      <c r="AF375" s="34"/>
      <c r="AG375" s="34"/>
    </row>
    <row r="376" spans="4:33" s="2" customFormat="1" ht="27" customHeight="1" x14ac:dyDescent="0.3">
      <c r="D376" s="23"/>
      <c r="AF376" s="34"/>
      <c r="AG376" s="34"/>
    </row>
    <row r="377" spans="4:33" s="2" customFormat="1" ht="27" customHeight="1" x14ac:dyDescent="0.3">
      <c r="D377" s="23"/>
      <c r="AF377" s="34"/>
      <c r="AG377" s="34"/>
    </row>
    <row r="378" spans="4:33" s="2" customFormat="1" ht="27" customHeight="1" x14ac:dyDescent="0.3">
      <c r="D378" s="23"/>
      <c r="AF378" s="34"/>
      <c r="AG378" s="34"/>
    </row>
    <row r="379" spans="4:33" s="2" customFormat="1" ht="27" customHeight="1" x14ac:dyDescent="0.3">
      <c r="D379" s="23"/>
      <c r="AF379" s="34"/>
      <c r="AG379" s="34"/>
    </row>
    <row r="380" spans="4:33" s="2" customFormat="1" ht="27" customHeight="1" x14ac:dyDescent="0.3">
      <c r="D380" s="23"/>
      <c r="AF380" s="34"/>
      <c r="AG380" s="34"/>
    </row>
    <row r="381" spans="4:33" s="2" customFormat="1" ht="27" customHeight="1" x14ac:dyDescent="0.3">
      <c r="D381" s="23"/>
      <c r="AF381" s="34"/>
      <c r="AG381" s="34"/>
    </row>
    <row r="382" spans="4:33" s="2" customFormat="1" ht="27" customHeight="1" x14ac:dyDescent="0.3">
      <c r="D382" s="23"/>
      <c r="AF382" s="34"/>
      <c r="AG382" s="34"/>
    </row>
    <row r="383" spans="4:33" s="2" customFormat="1" ht="27" customHeight="1" x14ac:dyDescent="0.3">
      <c r="D383" s="23"/>
      <c r="AF383" s="34"/>
      <c r="AG383" s="34"/>
    </row>
    <row r="384" spans="4:33" s="2" customFormat="1" ht="27" customHeight="1" x14ac:dyDescent="0.3">
      <c r="D384" s="23"/>
      <c r="AF384" s="34"/>
      <c r="AG384" s="34"/>
    </row>
    <row r="385" spans="4:33" s="2" customFormat="1" ht="27" customHeight="1" x14ac:dyDescent="0.3">
      <c r="D385" s="23"/>
      <c r="AF385" s="34"/>
      <c r="AG385" s="34"/>
    </row>
    <row r="386" spans="4:33" s="2" customFormat="1" ht="27" customHeight="1" x14ac:dyDescent="0.3">
      <c r="D386" s="23"/>
      <c r="AF386" s="34"/>
      <c r="AG386" s="34"/>
    </row>
    <row r="387" spans="4:33" s="2" customFormat="1" ht="27" customHeight="1" x14ac:dyDescent="0.3">
      <c r="D387" s="23"/>
      <c r="AF387" s="34"/>
      <c r="AG387" s="34"/>
    </row>
    <row r="388" spans="4:33" s="2" customFormat="1" ht="27" customHeight="1" x14ac:dyDescent="0.3">
      <c r="D388" s="23"/>
      <c r="AF388" s="34"/>
      <c r="AG388" s="34"/>
    </row>
    <row r="389" spans="4:33" s="2" customFormat="1" ht="27" customHeight="1" x14ac:dyDescent="0.3">
      <c r="D389" s="23"/>
      <c r="AF389" s="34"/>
      <c r="AG389" s="34"/>
    </row>
    <row r="390" spans="4:33" s="2" customFormat="1" ht="27" customHeight="1" x14ac:dyDescent="0.3">
      <c r="D390" s="23"/>
      <c r="AF390" s="34"/>
      <c r="AG390" s="34"/>
    </row>
    <row r="391" spans="4:33" s="2" customFormat="1" ht="27" customHeight="1" x14ac:dyDescent="0.3">
      <c r="D391" s="23"/>
      <c r="AF391" s="34"/>
      <c r="AG391" s="34"/>
    </row>
    <row r="392" spans="4:33" s="2" customFormat="1" ht="27" customHeight="1" x14ac:dyDescent="0.3">
      <c r="D392" s="23"/>
      <c r="AF392" s="34"/>
      <c r="AG392" s="34"/>
    </row>
    <row r="393" spans="4:33" s="2" customFormat="1" ht="27" customHeight="1" x14ac:dyDescent="0.3">
      <c r="D393" s="23"/>
      <c r="AF393" s="34"/>
      <c r="AG393" s="34"/>
    </row>
    <row r="394" spans="4:33" s="2" customFormat="1" ht="27" customHeight="1" x14ac:dyDescent="0.3">
      <c r="D394" s="23"/>
      <c r="AF394" s="34"/>
      <c r="AG394" s="34"/>
    </row>
    <row r="395" spans="4:33" s="2" customFormat="1" ht="27" customHeight="1" x14ac:dyDescent="0.3">
      <c r="D395" s="23"/>
      <c r="AF395" s="34"/>
      <c r="AG395" s="34"/>
    </row>
    <row r="396" spans="4:33" s="2" customFormat="1" ht="27" customHeight="1" x14ac:dyDescent="0.3">
      <c r="D396" s="23"/>
      <c r="AF396" s="34"/>
      <c r="AG396" s="34"/>
    </row>
    <row r="397" spans="4:33" s="2" customFormat="1" ht="27" customHeight="1" x14ac:dyDescent="0.3">
      <c r="D397" s="23"/>
      <c r="AF397" s="34"/>
      <c r="AG397" s="34"/>
    </row>
    <row r="398" spans="4:33" s="2" customFormat="1" ht="27" customHeight="1" x14ac:dyDescent="0.3">
      <c r="D398" s="23"/>
      <c r="AF398" s="34"/>
      <c r="AG398" s="34"/>
    </row>
    <row r="399" spans="4:33" s="2" customFormat="1" ht="27" customHeight="1" x14ac:dyDescent="0.3">
      <c r="D399" s="23"/>
      <c r="AF399" s="34"/>
      <c r="AG399" s="34"/>
    </row>
    <row r="400" spans="4:33" s="2" customFormat="1" ht="27" customHeight="1" x14ac:dyDescent="0.3">
      <c r="D400" s="23"/>
      <c r="AF400" s="34"/>
      <c r="AG400" s="34"/>
    </row>
    <row r="401" spans="4:33" s="2" customFormat="1" ht="27" customHeight="1" x14ac:dyDescent="0.3">
      <c r="D401" s="23"/>
      <c r="AF401" s="34"/>
      <c r="AG401" s="34"/>
    </row>
    <row r="402" spans="4:33" s="2" customFormat="1" ht="27" customHeight="1" x14ac:dyDescent="0.3">
      <c r="D402" s="23"/>
      <c r="AF402" s="34"/>
      <c r="AG402" s="34"/>
    </row>
    <row r="403" spans="4:33" s="2" customFormat="1" ht="27" customHeight="1" x14ac:dyDescent="0.3">
      <c r="D403" s="23"/>
      <c r="AF403" s="34"/>
      <c r="AG403" s="34"/>
    </row>
    <row r="404" spans="4:33" s="2" customFormat="1" ht="27" customHeight="1" x14ac:dyDescent="0.3">
      <c r="D404" s="23"/>
      <c r="AF404" s="34"/>
      <c r="AG404" s="34"/>
    </row>
    <row r="405" spans="4:33" s="2" customFormat="1" ht="27" customHeight="1" x14ac:dyDescent="0.3">
      <c r="D405" s="23"/>
      <c r="AF405" s="34"/>
      <c r="AG405" s="34"/>
    </row>
    <row r="406" spans="4:33" s="2" customFormat="1" ht="27" customHeight="1" x14ac:dyDescent="0.3">
      <c r="D406" s="23"/>
      <c r="AF406" s="34"/>
      <c r="AG406" s="34"/>
    </row>
    <row r="407" spans="4:33" s="2" customFormat="1" ht="27" customHeight="1" x14ac:dyDescent="0.3">
      <c r="D407" s="23"/>
      <c r="AF407" s="34"/>
      <c r="AG407" s="34"/>
    </row>
    <row r="408" spans="4:33" s="2" customFormat="1" ht="27" customHeight="1" x14ac:dyDescent="0.3">
      <c r="D408" s="23"/>
      <c r="AF408" s="34"/>
      <c r="AG408" s="34"/>
    </row>
    <row r="409" spans="4:33" s="2" customFormat="1" ht="27" customHeight="1" x14ac:dyDescent="0.3">
      <c r="D409" s="23"/>
      <c r="AF409" s="34"/>
      <c r="AG409" s="34"/>
    </row>
    <row r="410" spans="4:33" s="2" customFormat="1" ht="27" customHeight="1" x14ac:dyDescent="0.3">
      <c r="D410" s="23"/>
      <c r="AF410" s="34"/>
      <c r="AG410" s="34"/>
    </row>
    <row r="411" spans="4:33" s="2" customFormat="1" ht="27" customHeight="1" x14ac:dyDescent="0.3">
      <c r="D411" s="23"/>
      <c r="AF411" s="34"/>
      <c r="AG411" s="34"/>
    </row>
    <row r="412" spans="4:33" s="2" customFormat="1" ht="27" customHeight="1" x14ac:dyDescent="0.3">
      <c r="D412" s="23"/>
      <c r="AF412" s="34"/>
      <c r="AG412" s="34"/>
    </row>
    <row r="413" spans="4:33" s="2" customFormat="1" ht="27" customHeight="1" x14ac:dyDescent="0.3">
      <c r="D413" s="23"/>
      <c r="AF413" s="34"/>
      <c r="AG413" s="34"/>
    </row>
    <row r="414" spans="4:33" s="2" customFormat="1" ht="27" customHeight="1" x14ac:dyDescent="0.3">
      <c r="D414" s="23"/>
      <c r="AF414" s="34"/>
      <c r="AG414" s="34"/>
    </row>
    <row r="415" spans="4:33" s="2" customFormat="1" ht="27" customHeight="1" x14ac:dyDescent="0.3">
      <c r="D415" s="23"/>
      <c r="AF415" s="34"/>
      <c r="AG415" s="34"/>
    </row>
    <row r="416" spans="4:33" s="2" customFormat="1" ht="27" customHeight="1" x14ac:dyDescent="0.3">
      <c r="D416" s="23"/>
      <c r="AF416" s="34"/>
      <c r="AG416" s="34"/>
    </row>
    <row r="417" spans="4:33" s="2" customFormat="1" ht="27" customHeight="1" x14ac:dyDescent="0.3">
      <c r="D417" s="23"/>
      <c r="AF417" s="34"/>
      <c r="AG417" s="34"/>
    </row>
    <row r="418" spans="4:33" s="2" customFormat="1" ht="27" customHeight="1" x14ac:dyDescent="0.3">
      <c r="D418" s="23"/>
      <c r="AF418" s="34"/>
      <c r="AG418" s="34"/>
    </row>
    <row r="419" spans="4:33" s="2" customFormat="1" ht="27" customHeight="1" x14ac:dyDescent="0.3">
      <c r="D419" s="23"/>
      <c r="AF419" s="34"/>
      <c r="AG419" s="34"/>
    </row>
    <row r="420" spans="4:33" s="2" customFormat="1" ht="27" customHeight="1" x14ac:dyDescent="0.3">
      <c r="D420" s="23"/>
      <c r="AF420" s="34"/>
      <c r="AG420" s="34"/>
    </row>
    <row r="421" spans="4:33" s="2" customFormat="1" ht="27" customHeight="1" x14ac:dyDescent="0.3">
      <c r="D421" s="23"/>
      <c r="AF421" s="34"/>
      <c r="AG421" s="34"/>
    </row>
    <row r="422" spans="4:33" s="2" customFormat="1" ht="27" customHeight="1" x14ac:dyDescent="0.3">
      <c r="D422" s="23"/>
      <c r="AF422" s="34"/>
      <c r="AG422" s="34"/>
    </row>
    <row r="423" spans="4:33" s="2" customFormat="1" ht="27" customHeight="1" x14ac:dyDescent="0.3">
      <c r="D423" s="23"/>
      <c r="AF423" s="34"/>
      <c r="AG423" s="34"/>
    </row>
    <row r="424" spans="4:33" s="2" customFormat="1" ht="27" customHeight="1" x14ac:dyDescent="0.3">
      <c r="D424" s="23"/>
      <c r="AF424" s="34"/>
      <c r="AG424" s="34"/>
    </row>
    <row r="425" spans="4:33" s="2" customFormat="1" ht="27" customHeight="1" x14ac:dyDescent="0.3">
      <c r="D425" s="23"/>
      <c r="AF425" s="34"/>
      <c r="AG425" s="34"/>
    </row>
    <row r="426" spans="4:33" s="2" customFormat="1" ht="27" customHeight="1" x14ac:dyDescent="0.3">
      <c r="D426" s="23"/>
      <c r="AF426" s="34"/>
      <c r="AG426" s="34"/>
    </row>
    <row r="427" spans="4:33" s="2" customFormat="1" ht="27" customHeight="1" x14ac:dyDescent="0.3">
      <c r="D427" s="23"/>
      <c r="AF427" s="34"/>
      <c r="AG427" s="34"/>
    </row>
    <row r="428" spans="4:33" s="2" customFormat="1" ht="27" customHeight="1" x14ac:dyDescent="0.3">
      <c r="D428" s="23"/>
      <c r="AF428" s="34"/>
      <c r="AG428" s="34"/>
    </row>
    <row r="429" spans="4:33" s="2" customFormat="1" ht="27" customHeight="1" x14ac:dyDescent="0.3">
      <c r="D429" s="23"/>
      <c r="AF429" s="34"/>
      <c r="AG429" s="34"/>
    </row>
    <row r="430" spans="4:33" s="2" customFormat="1" ht="27" customHeight="1" x14ac:dyDescent="0.3">
      <c r="D430" s="23"/>
      <c r="AF430" s="34"/>
      <c r="AG430" s="34"/>
    </row>
    <row r="431" spans="4:33" s="2" customFormat="1" ht="27" customHeight="1" x14ac:dyDescent="0.3">
      <c r="D431" s="23"/>
      <c r="AF431" s="34"/>
      <c r="AG431" s="34"/>
    </row>
    <row r="432" spans="4:33" s="2" customFormat="1" ht="27" customHeight="1" x14ac:dyDescent="0.3">
      <c r="D432" s="23"/>
      <c r="AF432" s="34"/>
      <c r="AG432" s="34"/>
    </row>
    <row r="433" spans="4:33" s="2" customFormat="1" ht="27" customHeight="1" x14ac:dyDescent="0.3">
      <c r="D433" s="23"/>
      <c r="AF433" s="34"/>
      <c r="AG433" s="34"/>
    </row>
    <row r="434" spans="4:33" s="2" customFormat="1" ht="27" customHeight="1" x14ac:dyDescent="0.3">
      <c r="D434" s="23"/>
      <c r="AF434" s="34"/>
      <c r="AG434" s="34"/>
    </row>
    <row r="435" spans="4:33" s="2" customFormat="1" ht="27" customHeight="1" x14ac:dyDescent="0.3">
      <c r="D435" s="23"/>
      <c r="AF435" s="34"/>
      <c r="AG435" s="34"/>
    </row>
    <row r="436" spans="4:33" s="2" customFormat="1" ht="27" customHeight="1" x14ac:dyDescent="0.3">
      <c r="D436" s="23"/>
      <c r="AF436" s="34"/>
      <c r="AG436" s="34"/>
    </row>
    <row r="437" spans="4:33" s="2" customFormat="1" ht="27" customHeight="1" x14ac:dyDescent="0.3">
      <c r="D437" s="23"/>
      <c r="AF437" s="34"/>
      <c r="AG437" s="34"/>
    </row>
    <row r="438" spans="4:33" s="2" customFormat="1" ht="27" customHeight="1" x14ac:dyDescent="0.3">
      <c r="D438" s="23"/>
      <c r="AF438" s="34"/>
      <c r="AG438" s="34"/>
    </row>
    <row r="439" spans="4:33" s="2" customFormat="1" ht="27" customHeight="1" x14ac:dyDescent="0.3">
      <c r="D439" s="23"/>
      <c r="AF439" s="34"/>
      <c r="AG439" s="34"/>
    </row>
    <row r="440" spans="4:33" s="2" customFormat="1" ht="27" customHeight="1" x14ac:dyDescent="0.3">
      <c r="D440" s="23"/>
      <c r="AF440" s="34"/>
      <c r="AG440" s="34"/>
    </row>
    <row r="441" spans="4:33" s="2" customFormat="1" ht="27" customHeight="1" x14ac:dyDescent="0.3">
      <c r="D441" s="23"/>
      <c r="AF441" s="34"/>
      <c r="AG441" s="34"/>
    </row>
    <row r="442" spans="4:33" s="2" customFormat="1" ht="27" customHeight="1" x14ac:dyDescent="0.3">
      <c r="D442" s="23"/>
      <c r="AF442" s="34"/>
      <c r="AG442" s="34"/>
    </row>
    <row r="443" spans="4:33" s="2" customFormat="1" ht="27" customHeight="1" x14ac:dyDescent="0.3">
      <c r="D443" s="23"/>
      <c r="AF443" s="34"/>
      <c r="AG443" s="34"/>
    </row>
    <row r="444" spans="4:33" s="2" customFormat="1" ht="27" customHeight="1" x14ac:dyDescent="0.3">
      <c r="D444" s="23"/>
      <c r="AF444" s="34"/>
      <c r="AG444" s="34"/>
    </row>
    <row r="445" spans="4:33" s="2" customFormat="1" ht="27" customHeight="1" x14ac:dyDescent="0.3">
      <c r="D445" s="23"/>
      <c r="AF445" s="34"/>
      <c r="AG445" s="34"/>
    </row>
    <row r="446" spans="4:33" s="2" customFormat="1" ht="27" customHeight="1" x14ac:dyDescent="0.3">
      <c r="D446" s="23"/>
      <c r="AF446" s="34"/>
      <c r="AG446" s="34"/>
    </row>
    <row r="447" spans="4:33" s="2" customFormat="1" ht="27" customHeight="1" x14ac:dyDescent="0.3">
      <c r="D447" s="23"/>
      <c r="AF447" s="34"/>
      <c r="AG447" s="34"/>
    </row>
    <row r="448" spans="4:33" s="2" customFormat="1" ht="27" customHeight="1" x14ac:dyDescent="0.3">
      <c r="D448" s="23"/>
      <c r="AF448" s="34"/>
      <c r="AG448" s="34"/>
    </row>
    <row r="449" spans="4:33" s="2" customFormat="1" ht="27" customHeight="1" x14ac:dyDescent="0.3">
      <c r="D449" s="23"/>
      <c r="AF449" s="34"/>
      <c r="AG449" s="34"/>
    </row>
    <row r="450" spans="4:33" s="2" customFormat="1" ht="27" customHeight="1" x14ac:dyDescent="0.3">
      <c r="D450" s="23"/>
      <c r="AF450" s="34"/>
      <c r="AG450" s="34"/>
    </row>
    <row r="451" spans="4:33" s="2" customFormat="1" ht="27" customHeight="1" x14ac:dyDescent="0.3">
      <c r="D451" s="23"/>
      <c r="AF451" s="34"/>
      <c r="AG451" s="34"/>
    </row>
    <row r="452" spans="4:33" s="2" customFormat="1" ht="27" customHeight="1" x14ac:dyDescent="0.3">
      <c r="D452" s="23"/>
      <c r="AF452" s="34"/>
      <c r="AG452" s="34"/>
    </row>
    <row r="453" spans="4:33" s="2" customFormat="1" ht="27" customHeight="1" x14ac:dyDescent="0.3">
      <c r="D453" s="23"/>
      <c r="AF453" s="34"/>
      <c r="AG453" s="34"/>
    </row>
    <row r="454" spans="4:33" s="2" customFormat="1" ht="27" customHeight="1" x14ac:dyDescent="0.3">
      <c r="D454" s="23"/>
      <c r="AF454" s="34"/>
      <c r="AG454" s="34"/>
    </row>
    <row r="455" spans="4:33" s="2" customFormat="1" ht="27" customHeight="1" x14ac:dyDescent="0.3">
      <c r="D455" s="23"/>
      <c r="AF455" s="34"/>
      <c r="AG455" s="34"/>
    </row>
    <row r="456" spans="4:33" s="2" customFormat="1" ht="27" customHeight="1" x14ac:dyDescent="0.3">
      <c r="D456" s="23"/>
      <c r="AF456" s="34"/>
      <c r="AG456" s="34"/>
    </row>
    <row r="457" spans="4:33" s="2" customFormat="1" ht="27" customHeight="1" x14ac:dyDescent="0.3">
      <c r="D457" s="23"/>
      <c r="AF457" s="34"/>
      <c r="AG457" s="34"/>
    </row>
    <row r="458" spans="4:33" s="2" customFormat="1" ht="27" customHeight="1" x14ac:dyDescent="0.3">
      <c r="D458" s="23"/>
      <c r="AF458" s="34"/>
      <c r="AG458" s="34"/>
    </row>
    <row r="459" spans="4:33" s="2" customFormat="1" ht="27" customHeight="1" x14ac:dyDescent="0.3">
      <c r="D459" s="23"/>
      <c r="AF459" s="34"/>
      <c r="AG459" s="34"/>
    </row>
    <row r="460" spans="4:33" s="2" customFormat="1" ht="27" customHeight="1" x14ac:dyDescent="0.3">
      <c r="D460" s="23"/>
      <c r="AF460" s="34"/>
      <c r="AG460" s="34"/>
    </row>
    <row r="461" spans="4:33" s="2" customFormat="1" ht="27" customHeight="1" x14ac:dyDescent="0.3">
      <c r="D461" s="23"/>
      <c r="AF461" s="34"/>
      <c r="AG461" s="34"/>
    </row>
    <row r="462" spans="4:33" s="2" customFormat="1" ht="27" customHeight="1" x14ac:dyDescent="0.3">
      <c r="D462" s="23"/>
      <c r="AF462" s="34"/>
      <c r="AG462" s="34"/>
    </row>
    <row r="463" spans="4:33" s="2" customFormat="1" ht="27" customHeight="1" x14ac:dyDescent="0.3">
      <c r="D463" s="23"/>
      <c r="AF463" s="34"/>
      <c r="AG463" s="34"/>
    </row>
    <row r="464" spans="4:33" s="2" customFormat="1" ht="27" customHeight="1" x14ac:dyDescent="0.3">
      <c r="D464" s="23"/>
      <c r="AF464" s="34"/>
      <c r="AG464" s="34"/>
    </row>
    <row r="465" spans="4:33" s="2" customFormat="1" ht="27" customHeight="1" x14ac:dyDescent="0.3">
      <c r="D465" s="23"/>
      <c r="AF465" s="34"/>
      <c r="AG465" s="34"/>
    </row>
    <row r="466" spans="4:33" s="2" customFormat="1" ht="27" customHeight="1" x14ac:dyDescent="0.3">
      <c r="D466" s="23"/>
      <c r="AF466" s="34"/>
      <c r="AG466" s="34"/>
    </row>
    <row r="467" spans="4:33" s="2" customFormat="1" ht="27" customHeight="1" x14ac:dyDescent="0.3">
      <c r="D467" s="23"/>
      <c r="AF467" s="34"/>
      <c r="AG467" s="34"/>
    </row>
    <row r="468" spans="4:33" s="2" customFormat="1" ht="27" customHeight="1" x14ac:dyDescent="0.3">
      <c r="D468" s="23"/>
      <c r="AF468" s="34"/>
      <c r="AG468" s="34"/>
    </row>
    <row r="469" spans="4:33" s="2" customFormat="1" ht="27" customHeight="1" x14ac:dyDescent="0.3">
      <c r="D469" s="23"/>
      <c r="AF469" s="34"/>
      <c r="AG469" s="34"/>
    </row>
    <row r="470" spans="4:33" s="2" customFormat="1" ht="27" customHeight="1" x14ac:dyDescent="0.3">
      <c r="D470" s="23"/>
      <c r="AF470" s="34"/>
      <c r="AG470" s="34"/>
    </row>
    <row r="471" spans="4:33" s="2" customFormat="1" ht="27" customHeight="1" x14ac:dyDescent="0.3">
      <c r="D471" s="23"/>
      <c r="AF471" s="34"/>
      <c r="AG471" s="34"/>
    </row>
    <row r="472" spans="4:33" s="2" customFormat="1" ht="27" customHeight="1" x14ac:dyDescent="0.3">
      <c r="D472" s="23"/>
      <c r="AF472" s="34"/>
      <c r="AG472" s="34"/>
    </row>
    <row r="473" spans="4:33" s="2" customFormat="1" ht="27" customHeight="1" x14ac:dyDescent="0.3">
      <c r="D473" s="23"/>
      <c r="AF473" s="34"/>
      <c r="AG473" s="34"/>
    </row>
    <row r="474" spans="4:33" s="2" customFormat="1" ht="27" customHeight="1" x14ac:dyDescent="0.3">
      <c r="D474" s="23"/>
      <c r="AF474" s="34"/>
      <c r="AG474" s="34"/>
    </row>
    <row r="475" spans="4:33" s="2" customFormat="1" ht="27" customHeight="1" x14ac:dyDescent="0.3">
      <c r="D475" s="23"/>
      <c r="AF475" s="34"/>
      <c r="AG475" s="34"/>
    </row>
    <row r="476" spans="4:33" s="2" customFormat="1" ht="27" customHeight="1" x14ac:dyDescent="0.3">
      <c r="D476" s="23"/>
      <c r="AF476" s="34"/>
      <c r="AG476" s="34"/>
    </row>
    <row r="477" spans="4:33" s="2" customFormat="1" ht="27" customHeight="1" x14ac:dyDescent="0.3">
      <c r="D477" s="23"/>
      <c r="AF477" s="34"/>
      <c r="AG477" s="34"/>
    </row>
    <row r="478" spans="4:33" s="2" customFormat="1" ht="27" customHeight="1" x14ac:dyDescent="0.3">
      <c r="D478" s="23"/>
      <c r="AF478" s="34"/>
      <c r="AG478" s="34"/>
    </row>
    <row r="479" spans="4:33" s="2" customFormat="1" ht="27" customHeight="1" x14ac:dyDescent="0.3">
      <c r="D479" s="23"/>
      <c r="AF479" s="34"/>
      <c r="AG479" s="34"/>
    </row>
    <row r="480" spans="4:33" s="2" customFormat="1" ht="27" customHeight="1" x14ac:dyDescent="0.3">
      <c r="D480" s="23"/>
      <c r="AF480" s="34"/>
      <c r="AG480" s="34"/>
    </row>
    <row r="481" spans="4:33" s="2" customFormat="1" ht="27" customHeight="1" x14ac:dyDescent="0.3">
      <c r="D481" s="23"/>
      <c r="AF481" s="34"/>
      <c r="AG481" s="34"/>
    </row>
    <row r="482" spans="4:33" s="2" customFormat="1" ht="27" customHeight="1" x14ac:dyDescent="0.3">
      <c r="D482" s="23"/>
      <c r="AF482" s="34"/>
      <c r="AG482" s="34"/>
    </row>
    <row r="483" spans="4:33" s="2" customFormat="1" ht="27" customHeight="1" x14ac:dyDescent="0.3">
      <c r="D483" s="23"/>
      <c r="AF483" s="34"/>
      <c r="AG483" s="34"/>
    </row>
    <row r="484" spans="4:33" s="2" customFormat="1" ht="27" customHeight="1" x14ac:dyDescent="0.3">
      <c r="D484" s="23"/>
      <c r="AF484" s="34"/>
      <c r="AG484" s="34"/>
    </row>
    <row r="485" spans="4:33" s="2" customFormat="1" ht="27" customHeight="1" x14ac:dyDescent="0.3">
      <c r="D485" s="23"/>
      <c r="AF485" s="34"/>
      <c r="AG485" s="34"/>
    </row>
    <row r="486" spans="4:33" s="2" customFormat="1" ht="27" customHeight="1" x14ac:dyDescent="0.3">
      <c r="D486" s="23"/>
      <c r="AF486" s="34"/>
      <c r="AG486" s="34"/>
    </row>
    <row r="487" spans="4:33" s="2" customFormat="1" ht="27" customHeight="1" x14ac:dyDescent="0.3">
      <c r="D487" s="23"/>
      <c r="AF487" s="34"/>
      <c r="AG487" s="34"/>
    </row>
    <row r="488" spans="4:33" s="2" customFormat="1" ht="27" customHeight="1" x14ac:dyDescent="0.3">
      <c r="D488" s="23"/>
      <c r="AF488" s="34"/>
      <c r="AG488" s="34"/>
    </row>
    <row r="489" spans="4:33" s="2" customFormat="1" ht="27" customHeight="1" x14ac:dyDescent="0.3">
      <c r="D489" s="23"/>
      <c r="AF489" s="34"/>
      <c r="AG489" s="34"/>
    </row>
    <row r="490" spans="4:33" s="2" customFormat="1" ht="27" customHeight="1" x14ac:dyDescent="0.3">
      <c r="D490" s="23"/>
      <c r="AF490" s="34"/>
      <c r="AG490" s="34"/>
    </row>
    <row r="491" spans="4:33" s="2" customFormat="1" ht="27" customHeight="1" x14ac:dyDescent="0.3">
      <c r="D491" s="23"/>
      <c r="AF491" s="34"/>
      <c r="AG491" s="34"/>
    </row>
    <row r="492" spans="4:33" s="2" customFormat="1" ht="27" customHeight="1" x14ac:dyDescent="0.3">
      <c r="D492" s="23"/>
      <c r="AF492" s="34"/>
      <c r="AG492" s="34"/>
    </row>
    <row r="493" spans="4:33" s="2" customFormat="1" ht="27" customHeight="1" x14ac:dyDescent="0.3">
      <c r="D493" s="23"/>
      <c r="AF493" s="34"/>
      <c r="AG493" s="34"/>
    </row>
    <row r="494" spans="4:33" s="2" customFormat="1" ht="27" customHeight="1" x14ac:dyDescent="0.3">
      <c r="D494" s="23"/>
      <c r="AF494" s="34"/>
      <c r="AG494" s="34"/>
    </row>
    <row r="495" spans="4:33" s="2" customFormat="1" ht="27" customHeight="1" x14ac:dyDescent="0.3">
      <c r="D495" s="23"/>
      <c r="AF495" s="34"/>
      <c r="AG495" s="34"/>
    </row>
    <row r="496" spans="4:33" s="2" customFormat="1" ht="27" customHeight="1" x14ac:dyDescent="0.3">
      <c r="D496" s="23"/>
      <c r="AF496" s="34"/>
      <c r="AG496" s="34"/>
    </row>
    <row r="497" spans="4:33" s="2" customFormat="1" ht="27" customHeight="1" x14ac:dyDescent="0.3">
      <c r="D497" s="23"/>
      <c r="AF497" s="34"/>
      <c r="AG497" s="34"/>
    </row>
    <row r="498" spans="4:33" s="2" customFormat="1" ht="27" customHeight="1" x14ac:dyDescent="0.3">
      <c r="D498" s="23"/>
      <c r="AF498" s="34"/>
      <c r="AG498" s="34"/>
    </row>
    <row r="499" spans="4:33" s="2" customFormat="1" ht="27" customHeight="1" x14ac:dyDescent="0.3">
      <c r="D499" s="23"/>
      <c r="AF499" s="34"/>
      <c r="AG499" s="34"/>
    </row>
    <row r="500" spans="4:33" s="2" customFormat="1" ht="27" customHeight="1" x14ac:dyDescent="0.3">
      <c r="D500" s="23"/>
      <c r="AF500" s="34"/>
      <c r="AG500" s="34"/>
    </row>
    <row r="501" spans="4:33" s="2" customFormat="1" ht="27" customHeight="1" x14ac:dyDescent="0.3">
      <c r="D501" s="23"/>
      <c r="AF501" s="34"/>
      <c r="AG501" s="34"/>
    </row>
    <row r="502" spans="4:33" s="2" customFormat="1" ht="27" customHeight="1" x14ac:dyDescent="0.3">
      <c r="D502" s="23"/>
      <c r="AF502" s="34"/>
      <c r="AG502" s="34"/>
    </row>
    <row r="503" spans="4:33" s="2" customFormat="1" ht="27" customHeight="1" x14ac:dyDescent="0.3">
      <c r="D503" s="23"/>
      <c r="AF503" s="34"/>
      <c r="AG503" s="34"/>
    </row>
    <row r="504" spans="4:33" s="2" customFormat="1" ht="27" customHeight="1" x14ac:dyDescent="0.3">
      <c r="D504" s="23"/>
      <c r="AF504" s="34"/>
      <c r="AG504" s="34"/>
    </row>
    <row r="505" spans="4:33" s="2" customFormat="1" ht="27" customHeight="1" x14ac:dyDescent="0.3">
      <c r="D505" s="23"/>
      <c r="AF505" s="34"/>
      <c r="AG505" s="34"/>
    </row>
    <row r="506" spans="4:33" s="2" customFormat="1" ht="27" customHeight="1" x14ac:dyDescent="0.3">
      <c r="D506" s="23"/>
      <c r="AF506" s="34"/>
      <c r="AG506" s="34"/>
    </row>
    <row r="507" spans="4:33" s="2" customFormat="1" ht="27" customHeight="1" x14ac:dyDescent="0.3">
      <c r="D507" s="23"/>
      <c r="AF507" s="34"/>
      <c r="AG507" s="34"/>
    </row>
    <row r="508" spans="4:33" s="2" customFormat="1" ht="27" customHeight="1" x14ac:dyDescent="0.3">
      <c r="D508" s="23"/>
      <c r="AF508" s="34"/>
      <c r="AG508" s="34"/>
    </row>
    <row r="509" spans="4:33" s="2" customFormat="1" ht="27" customHeight="1" x14ac:dyDescent="0.3">
      <c r="D509" s="23"/>
      <c r="AF509" s="34"/>
      <c r="AG509" s="34"/>
    </row>
    <row r="510" spans="4:33" s="2" customFormat="1" ht="27" customHeight="1" x14ac:dyDescent="0.3">
      <c r="D510" s="23"/>
      <c r="AF510" s="34"/>
      <c r="AG510" s="34"/>
    </row>
    <row r="511" spans="4:33" s="2" customFormat="1" ht="27" customHeight="1" x14ac:dyDescent="0.3">
      <c r="D511" s="23"/>
      <c r="AF511" s="34"/>
      <c r="AG511" s="34"/>
    </row>
    <row r="512" spans="4:33" s="2" customFormat="1" ht="27" customHeight="1" x14ac:dyDescent="0.3">
      <c r="D512" s="23"/>
      <c r="AF512" s="34"/>
      <c r="AG512" s="34"/>
    </row>
    <row r="513" spans="4:33" s="2" customFormat="1" ht="27" customHeight="1" x14ac:dyDescent="0.3">
      <c r="D513" s="23"/>
      <c r="AF513" s="34"/>
      <c r="AG513" s="34"/>
    </row>
    <row r="514" spans="4:33" s="2" customFormat="1" ht="27" customHeight="1" x14ac:dyDescent="0.3">
      <c r="D514" s="23"/>
      <c r="AF514" s="34"/>
      <c r="AG514" s="34"/>
    </row>
    <row r="515" spans="4:33" s="2" customFormat="1" ht="27" customHeight="1" x14ac:dyDescent="0.3">
      <c r="D515" s="23"/>
      <c r="AF515" s="34"/>
      <c r="AG515" s="34"/>
    </row>
    <row r="516" spans="4:33" s="2" customFormat="1" ht="27" customHeight="1" x14ac:dyDescent="0.3">
      <c r="D516" s="23"/>
      <c r="AF516" s="34"/>
      <c r="AG516" s="34"/>
    </row>
    <row r="517" spans="4:33" s="2" customFormat="1" ht="27" customHeight="1" x14ac:dyDescent="0.3">
      <c r="D517" s="23"/>
      <c r="AF517" s="34"/>
      <c r="AG517" s="34"/>
    </row>
    <row r="518" spans="4:33" s="2" customFormat="1" ht="27" customHeight="1" x14ac:dyDescent="0.3">
      <c r="D518" s="23"/>
      <c r="AF518" s="34"/>
      <c r="AG518" s="34"/>
    </row>
    <row r="519" spans="4:33" s="2" customFormat="1" ht="27" customHeight="1" x14ac:dyDescent="0.3">
      <c r="D519" s="23"/>
      <c r="AF519" s="34"/>
      <c r="AG519" s="34"/>
    </row>
    <row r="520" spans="4:33" s="2" customFormat="1" ht="27" customHeight="1" x14ac:dyDescent="0.3">
      <c r="D520" s="23"/>
      <c r="AF520" s="34"/>
      <c r="AG520" s="34"/>
    </row>
    <row r="521" spans="4:33" s="2" customFormat="1" ht="27" customHeight="1" x14ac:dyDescent="0.3">
      <c r="D521" s="23"/>
      <c r="AF521" s="34"/>
      <c r="AG521" s="34"/>
    </row>
    <row r="522" spans="4:33" s="2" customFormat="1" ht="27" customHeight="1" x14ac:dyDescent="0.3">
      <c r="D522" s="23"/>
      <c r="AF522" s="34"/>
      <c r="AG522" s="34"/>
    </row>
    <row r="523" spans="4:33" s="2" customFormat="1" ht="27" customHeight="1" x14ac:dyDescent="0.3">
      <c r="D523" s="23"/>
      <c r="AF523" s="34"/>
      <c r="AG523" s="34"/>
    </row>
    <row r="524" spans="4:33" s="2" customFormat="1" ht="27" customHeight="1" x14ac:dyDescent="0.3">
      <c r="D524" s="23"/>
      <c r="AF524" s="34"/>
      <c r="AG524" s="34"/>
    </row>
    <row r="525" spans="4:33" s="2" customFormat="1" ht="27" customHeight="1" x14ac:dyDescent="0.3">
      <c r="D525" s="23"/>
      <c r="AF525" s="34"/>
      <c r="AG525" s="34"/>
    </row>
    <row r="526" spans="4:33" s="2" customFormat="1" ht="27" customHeight="1" x14ac:dyDescent="0.3">
      <c r="D526" s="23"/>
      <c r="AF526" s="34"/>
      <c r="AG526" s="34"/>
    </row>
    <row r="527" spans="4:33" s="2" customFormat="1" ht="27" customHeight="1" x14ac:dyDescent="0.3">
      <c r="D527" s="23"/>
      <c r="AF527" s="34"/>
      <c r="AG527" s="34"/>
    </row>
    <row r="528" spans="4:33" s="2" customFormat="1" ht="27" customHeight="1" x14ac:dyDescent="0.3">
      <c r="D528" s="23"/>
      <c r="AF528" s="34"/>
      <c r="AG528" s="34"/>
    </row>
    <row r="529" spans="4:33" s="2" customFormat="1" ht="27" customHeight="1" x14ac:dyDescent="0.3">
      <c r="D529" s="23"/>
      <c r="AF529" s="34"/>
      <c r="AG529" s="34"/>
    </row>
    <row r="530" spans="4:33" s="2" customFormat="1" ht="27" customHeight="1" x14ac:dyDescent="0.3">
      <c r="D530" s="23"/>
      <c r="AF530" s="34"/>
      <c r="AG530" s="34"/>
    </row>
    <row r="531" spans="4:33" s="2" customFormat="1" ht="27" customHeight="1" x14ac:dyDescent="0.3">
      <c r="D531" s="23"/>
      <c r="AF531" s="34"/>
      <c r="AG531" s="34"/>
    </row>
    <row r="532" spans="4:33" s="2" customFormat="1" ht="27" customHeight="1" x14ac:dyDescent="0.3">
      <c r="D532" s="23"/>
      <c r="AF532" s="34"/>
      <c r="AG532" s="34"/>
    </row>
    <row r="533" spans="4:33" s="2" customFormat="1" ht="27" customHeight="1" x14ac:dyDescent="0.3">
      <c r="D533" s="23"/>
      <c r="AF533" s="34"/>
      <c r="AG533" s="34"/>
    </row>
    <row r="534" spans="4:33" s="2" customFormat="1" ht="27" customHeight="1" x14ac:dyDescent="0.3">
      <c r="D534" s="23"/>
      <c r="AF534" s="34"/>
      <c r="AG534" s="34"/>
    </row>
    <row r="535" spans="4:33" s="2" customFormat="1" ht="27" customHeight="1" x14ac:dyDescent="0.3">
      <c r="D535" s="23"/>
      <c r="AF535" s="34"/>
      <c r="AG535" s="34"/>
    </row>
    <row r="536" spans="4:33" s="2" customFormat="1" ht="27" customHeight="1" x14ac:dyDescent="0.3">
      <c r="D536" s="23"/>
      <c r="AF536" s="34"/>
      <c r="AG536" s="34"/>
    </row>
    <row r="537" spans="4:33" s="2" customFormat="1" ht="27" customHeight="1" x14ac:dyDescent="0.3">
      <c r="D537" s="23"/>
      <c r="AF537" s="34"/>
      <c r="AG537" s="34"/>
    </row>
    <row r="538" spans="4:33" s="2" customFormat="1" ht="27" customHeight="1" x14ac:dyDescent="0.3">
      <c r="D538" s="23"/>
      <c r="AF538" s="34"/>
      <c r="AG538" s="34"/>
    </row>
    <row r="539" spans="4:33" s="2" customFormat="1" ht="27" customHeight="1" x14ac:dyDescent="0.3">
      <c r="D539" s="23"/>
      <c r="AF539" s="34"/>
      <c r="AG539" s="34"/>
    </row>
    <row r="540" spans="4:33" s="2" customFormat="1" ht="27" customHeight="1" x14ac:dyDescent="0.3">
      <c r="D540" s="23"/>
      <c r="AF540" s="34"/>
      <c r="AG540" s="34"/>
    </row>
    <row r="541" spans="4:33" s="2" customFormat="1" ht="27" customHeight="1" x14ac:dyDescent="0.3">
      <c r="D541" s="23"/>
      <c r="AF541" s="34"/>
      <c r="AG541" s="34"/>
    </row>
    <row r="542" spans="4:33" s="2" customFormat="1" ht="27" customHeight="1" x14ac:dyDescent="0.3">
      <c r="D542" s="23"/>
      <c r="AF542" s="34"/>
      <c r="AG542" s="34"/>
    </row>
    <row r="543" spans="4:33" s="2" customFormat="1" ht="27" customHeight="1" x14ac:dyDescent="0.3">
      <c r="D543" s="23"/>
      <c r="AF543" s="34"/>
      <c r="AG543" s="34"/>
    </row>
    <row r="544" spans="4:33" s="2" customFormat="1" ht="27" customHeight="1" x14ac:dyDescent="0.3">
      <c r="D544" s="23"/>
      <c r="AF544" s="34"/>
      <c r="AG544" s="34"/>
    </row>
    <row r="545" spans="4:33" s="2" customFormat="1" ht="27" customHeight="1" x14ac:dyDescent="0.3">
      <c r="D545" s="23"/>
      <c r="AF545" s="34"/>
      <c r="AG545" s="34"/>
    </row>
    <row r="546" spans="4:33" s="2" customFormat="1" ht="27" customHeight="1" x14ac:dyDescent="0.3">
      <c r="D546" s="23"/>
      <c r="AF546" s="34"/>
      <c r="AG546" s="34"/>
    </row>
    <row r="547" spans="4:33" s="2" customFormat="1" ht="27" customHeight="1" x14ac:dyDescent="0.3">
      <c r="D547" s="23"/>
      <c r="AF547" s="34"/>
      <c r="AG547" s="34"/>
    </row>
    <row r="548" spans="4:33" s="2" customFormat="1" ht="27" customHeight="1" x14ac:dyDescent="0.3">
      <c r="D548" s="23"/>
      <c r="AF548" s="34"/>
      <c r="AG548" s="34"/>
    </row>
    <row r="549" spans="4:33" s="2" customFormat="1" ht="27" customHeight="1" x14ac:dyDescent="0.3">
      <c r="D549" s="23"/>
      <c r="AF549" s="34"/>
      <c r="AG549" s="34"/>
    </row>
    <row r="550" spans="4:33" s="2" customFormat="1" ht="27" customHeight="1" x14ac:dyDescent="0.3">
      <c r="D550" s="23"/>
      <c r="AF550" s="34"/>
      <c r="AG550" s="34"/>
    </row>
    <row r="551" spans="4:33" s="2" customFormat="1" ht="27" customHeight="1" x14ac:dyDescent="0.3">
      <c r="D551" s="23"/>
      <c r="AF551" s="34"/>
      <c r="AG551" s="34"/>
    </row>
    <row r="552" spans="4:33" s="2" customFormat="1" ht="27" customHeight="1" x14ac:dyDescent="0.3">
      <c r="D552" s="23"/>
      <c r="AF552" s="34"/>
      <c r="AG552" s="34"/>
    </row>
    <row r="553" spans="4:33" s="2" customFormat="1" ht="27" customHeight="1" x14ac:dyDescent="0.3">
      <c r="D553" s="23"/>
      <c r="AF553" s="34"/>
      <c r="AG553" s="34"/>
    </row>
    <row r="554" spans="4:33" s="2" customFormat="1" ht="27" customHeight="1" x14ac:dyDescent="0.3">
      <c r="D554" s="23"/>
      <c r="AF554" s="34"/>
      <c r="AG554" s="34"/>
    </row>
    <row r="555" spans="4:33" s="2" customFormat="1" ht="27" customHeight="1" x14ac:dyDescent="0.3">
      <c r="D555" s="23"/>
      <c r="AF555" s="34"/>
      <c r="AG555" s="34"/>
    </row>
    <row r="556" spans="4:33" s="2" customFormat="1" ht="27" customHeight="1" x14ac:dyDescent="0.3">
      <c r="D556" s="23"/>
      <c r="AF556" s="34"/>
      <c r="AG556" s="34"/>
    </row>
    <row r="557" spans="4:33" s="2" customFormat="1" ht="27" customHeight="1" x14ac:dyDescent="0.3">
      <c r="D557" s="23"/>
      <c r="AF557" s="34"/>
      <c r="AG557" s="34"/>
    </row>
    <row r="558" spans="4:33" s="2" customFormat="1" ht="27" customHeight="1" x14ac:dyDescent="0.3">
      <c r="D558" s="23"/>
      <c r="AF558" s="34"/>
      <c r="AG558" s="34"/>
    </row>
    <row r="559" spans="4:33" s="2" customFormat="1" ht="27" customHeight="1" x14ac:dyDescent="0.3">
      <c r="D559" s="23"/>
      <c r="AF559" s="34"/>
      <c r="AG559" s="34"/>
    </row>
    <row r="560" spans="4:33" s="2" customFormat="1" ht="27" customHeight="1" x14ac:dyDescent="0.3">
      <c r="D560" s="23"/>
      <c r="AF560" s="34"/>
      <c r="AG560" s="34"/>
    </row>
    <row r="561" spans="4:33" s="2" customFormat="1" ht="27" customHeight="1" x14ac:dyDescent="0.3">
      <c r="D561" s="23"/>
      <c r="AF561" s="34"/>
      <c r="AG561" s="34"/>
    </row>
    <row r="562" spans="4:33" s="2" customFormat="1" ht="27" customHeight="1" x14ac:dyDescent="0.3">
      <c r="D562" s="23"/>
      <c r="AF562" s="34"/>
      <c r="AG562" s="34"/>
    </row>
    <row r="563" spans="4:33" s="2" customFormat="1" ht="27" customHeight="1" x14ac:dyDescent="0.3">
      <c r="D563" s="23"/>
      <c r="AF563" s="34"/>
      <c r="AG563" s="34"/>
    </row>
    <row r="564" spans="4:33" s="2" customFormat="1" ht="27" customHeight="1" x14ac:dyDescent="0.3">
      <c r="D564" s="23"/>
      <c r="AF564" s="34"/>
      <c r="AG564" s="34"/>
    </row>
    <row r="565" spans="4:33" s="2" customFormat="1" ht="27" customHeight="1" x14ac:dyDescent="0.3">
      <c r="D565" s="23"/>
      <c r="AF565" s="34"/>
      <c r="AG565" s="34"/>
    </row>
    <row r="566" spans="4:33" s="2" customFormat="1" ht="27" customHeight="1" x14ac:dyDescent="0.3">
      <c r="D566" s="23"/>
      <c r="AF566" s="34"/>
      <c r="AG566" s="34"/>
    </row>
    <row r="567" spans="4:33" s="2" customFormat="1" ht="27" customHeight="1" x14ac:dyDescent="0.3">
      <c r="D567" s="23"/>
      <c r="AF567" s="34"/>
      <c r="AG567" s="34"/>
    </row>
    <row r="568" spans="4:33" s="2" customFormat="1" ht="27" customHeight="1" x14ac:dyDescent="0.3">
      <c r="D568" s="23"/>
      <c r="AF568" s="34"/>
      <c r="AG568" s="34"/>
    </row>
    <row r="569" spans="4:33" s="2" customFormat="1" ht="27" customHeight="1" x14ac:dyDescent="0.3">
      <c r="D569" s="23"/>
      <c r="AF569" s="34"/>
      <c r="AG569" s="34"/>
    </row>
    <row r="570" spans="4:33" s="2" customFormat="1" ht="27" customHeight="1" x14ac:dyDescent="0.3">
      <c r="D570" s="23"/>
      <c r="AF570" s="34"/>
      <c r="AG570" s="34"/>
    </row>
    <row r="571" spans="4:33" s="2" customFormat="1" ht="27" customHeight="1" x14ac:dyDescent="0.3">
      <c r="D571" s="23"/>
      <c r="AF571" s="34"/>
      <c r="AG571" s="34"/>
    </row>
    <row r="572" spans="4:33" s="2" customFormat="1" ht="27" customHeight="1" x14ac:dyDescent="0.3">
      <c r="D572" s="23"/>
      <c r="AF572" s="34"/>
      <c r="AG572" s="34"/>
    </row>
    <row r="573" spans="4:33" s="2" customFormat="1" ht="27" customHeight="1" x14ac:dyDescent="0.3">
      <c r="D573" s="23"/>
      <c r="AF573" s="34"/>
      <c r="AG573" s="34"/>
    </row>
    <row r="574" spans="4:33" s="2" customFormat="1" ht="27" customHeight="1" x14ac:dyDescent="0.3">
      <c r="D574" s="23"/>
      <c r="AF574" s="34"/>
      <c r="AG574" s="34"/>
    </row>
    <row r="575" spans="4:33" s="2" customFormat="1" ht="27" customHeight="1" x14ac:dyDescent="0.3">
      <c r="D575" s="23"/>
      <c r="AF575" s="34"/>
      <c r="AG575" s="34"/>
    </row>
    <row r="576" spans="4:33" s="2" customFormat="1" ht="27" customHeight="1" x14ac:dyDescent="0.3">
      <c r="D576" s="23"/>
      <c r="AF576" s="34"/>
      <c r="AG576" s="34"/>
    </row>
    <row r="577" spans="4:33" s="2" customFormat="1" ht="27" customHeight="1" x14ac:dyDescent="0.3">
      <c r="D577" s="23"/>
      <c r="AF577" s="34"/>
      <c r="AG577" s="34"/>
    </row>
    <row r="578" spans="4:33" s="2" customFormat="1" ht="27" customHeight="1" x14ac:dyDescent="0.3">
      <c r="D578" s="23"/>
      <c r="AF578" s="34"/>
      <c r="AG578" s="34"/>
    </row>
    <row r="579" spans="4:33" s="2" customFormat="1" ht="27" customHeight="1" x14ac:dyDescent="0.3">
      <c r="D579" s="23"/>
      <c r="AF579" s="34"/>
      <c r="AG579" s="34"/>
    </row>
    <row r="580" spans="4:33" s="2" customFormat="1" ht="27" customHeight="1" x14ac:dyDescent="0.3">
      <c r="D580" s="23"/>
      <c r="AF580" s="34"/>
      <c r="AG580" s="34"/>
    </row>
    <row r="581" spans="4:33" s="2" customFormat="1" ht="27" customHeight="1" x14ac:dyDescent="0.3">
      <c r="D581" s="23"/>
      <c r="AF581" s="34"/>
      <c r="AG581" s="34"/>
    </row>
    <row r="582" spans="4:33" s="2" customFormat="1" ht="27" customHeight="1" x14ac:dyDescent="0.3">
      <c r="D582" s="23"/>
      <c r="AF582" s="34"/>
      <c r="AG582" s="34"/>
    </row>
    <row r="583" spans="4:33" s="2" customFormat="1" ht="27" customHeight="1" x14ac:dyDescent="0.3">
      <c r="D583" s="23"/>
      <c r="AF583" s="34"/>
      <c r="AG583" s="34"/>
    </row>
    <row r="584" spans="4:33" s="2" customFormat="1" ht="27" customHeight="1" x14ac:dyDescent="0.3">
      <c r="D584" s="23"/>
      <c r="AF584" s="34"/>
      <c r="AG584" s="34"/>
    </row>
    <row r="585" spans="4:33" s="2" customFormat="1" ht="27" customHeight="1" x14ac:dyDescent="0.3">
      <c r="D585" s="23"/>
      <c r="AF585" s="34"/>
      <c r="AG585" s="34"/>
    </row>
    <row r="586" spans="4:33" s="2" customFormat="1" ht="27" customHeight="1" x14ac:dyDescent="0.3">
      <c r="D586" s="23"/>
      <c r="AF586" s="34"/>
      <c r="AG586" s="34"/>
    </row>
    <row r="587" spans="4:33" s="2" customFormat="1" ht="27" customHeight="1" x14ac:dyDescent="0.3">
      <c r="D587" s="23"/>
      <c r="AF587" s="34"/>
      <c r="AG587" s="34"/>
    </row>
    <row r="588" spans="4:33" s="2" customFormat="1" ht="27" customHeight="1" x14ac:dyDescent="0.3">
      <c r="D588" s="23"/>
      <c r="AF588" s="34"/>
      <c r="AG588" s="34"/>
    </row>
    <row r="589" spans="4:33" s="2" customFormat="1" ht="27" customHeight="1" x14ac:dyDescent="0.3">
      <c r="D589" s="23"/>
      <c r="AF589" s="34"/>
      <c r="AG589" s="34"/>
    </row>
    <row r="590" spans="4:33" s="2" customFormat="1" ht="27" customHeight="1" x14ac:dyDescent="0.3">
      <c r="D590" s="23"/>
      <c r="AF590" s="34"/>
      <c r="AG590" s="34"/>
    </row>
    <row r="591" spans="4:33" s="2" customFormat="1" ht="27" customHeight="1" x14ac:dyDescent="0.3">
      <c r="D591" s="23"/>
      <c r="AF591" s="34"/>
      <c r="AG591" s="34"/>
    </row>
    <row r="592" spans="4:33" s="2" customFormat="1" ht="27" customHeight="1" x14ac:dyDescent="0.3">
      <c r="D592" s="23"/>
      <c r="AF592" s="34"/>
      <c r="AG592" s="34"/>
    </row>
    <row r="593" spans="4:33" s="2" customFormat="1" ht="27" customHeight="1" x14ac:dyDescent="0.3">
      <c r="D593" s="23"/>
      <c r="AF593" s="34"/>
      <c r="AG593" s="34"/>
    </row>
    <row r="594" spans="4:33" s="2" customFormat="1" ht="27" customHeight="1" x14ac:dyDescent="0.3">
      <c r="D594" s="23"/>
      <c r="AF594" s="34"/>
      <c r="AG594" s="34"/>
    </row>
    <row r="595" spans="4:33" s="2" customFormat="1" ht="27" customHeight="1" x14ac:dyDescent="0.3">
      <c r="D595" s="23"/>
      <c r="AF595" s="34"/>
      <c r="AG595" s="34"/>
    </row>
    <row r="596" spans="4:33" s="2" customFormat="1" ht="27" customHeight="1" x14ac:dyDescent="0.3">
      <c r="D596" s="23"/>
      <c r="AF596" s="34"/>
      <c r="AG596" s="34"/>
    </row>
    <row r="597" spans="4:33" s="2" customFormat="1" ht="27" customHeight="1" x14ac:dyDescent="0.3">
      <c r="D597" s="23"/>
      <c r="AF597" s="34"/>
      <c r="AG597" s="34"/>
    </row>
    <row r="598" spans="4:33" s="2" customFormat="1" ht="27" customHeight="1" x14ac:dyDescent="0.3">
      <c r="D598" s="23"/>
      <c r="AF598" s="34"/>
      <c r="AG598" s="34"/>
    </row>
    <row r="599" spans="4:33" s="2" customFormat="1" ht="27" customHeight="1" x14ac:dyDescent="0.3">
      <c r="D599" s="23"/>
      <c r="AF599" s="34"/>
      <c r="AG599" s="34"/>
    </row>
    <row r="600" spans="4:33" s="2" customFormat="1" ht="27" customHeight="1" x14ac:dyDescent="0.3">
      <c r="D600" s="23"/>
      <c r="AF600" s="34"/>
      <c r="AG600" s="34"/>
    </row>
    <row r="601" spans="4:33" s="2" customFormat="1" ht="27" customHeight="1" x14ac:dyDescent="0.3">
      <c r="D601" s="23"/>
      <c r="AF601" s="34"/>
      <c r="AG601" s="34"/>
    </row>
    <row r="602" spans="4:33" s="2" customFormat="1" ht="27" customHeight="1" x14ac:dyDescent="0.3">
      <c r="D602" s="23"/>
      <c r="AF602" s="34"/>
      <c r="AG602" s="34"/>
    </row>
    <row r="603" spans="4:33" s="2" customFormat="1" ht="27" customHeight="1" x14ac:dyDescent="0.3">
      <c r="D603" s="23"/>
      <c r="AF603" s="34"/>
      <c r="AG603" s="34"/>
    </row>
    <row r="604" spans="4:33" s="2" customFormat="1" ht="27" customHeight="1" x14ac:dyDescent="0.3">
      <c r="D604" s="23"/>
      <c r="AF604" s="34"/>
      <c r="AG604" s="34"/>
    </row>
    <row r="605" spans="4:33" s="2" customFormat="1" ht="27" customHeight="1" x14ac:dyDescent="0.3">
      <c r="D605" s="23"/>
      <c r="AF605" s="34"/>
      <c r="AG605" s="34"/>
    </row>
    <row r="606" spans="4:33" s="2" customFormat="1" ht="27" customHeight="1" x14ac:dyDescent="0.3">
      <c r="D606" s="23"/>
      <c r="AF606" s="34"/>
      <c r="AG606" s="34"/>
    </row>
    <row r="607" spans="4:33" s="2" customFormat="1" ht="27" customHeight="1" x14ac:dyDescent="0.3">
      <c r="D607" s="23"/>
      <c r="AF607" s="34"/>
      <c r="AG607" s="34"/>
    </row>
    <row r="608" spans="4:33" s="2" customFormat="1" ht="27" customHeight="1" x14ac:dyDescent="0.3">
      <c r="D608" s="23"/>
      <c r="AF608" s="34"/>
      <c r="AG608" s="34"/>
    </row>
    <row r="609" spans="4:33" s="2" customFormat="1" ht="27" customHeight="1" x14ac:dyDescent="0.3">
      <c r="D609" s="23"/>
      <c r="AF609" s="34"/>
      <c r="AG609" s="34"/>
    </row>
    <row r="610" spans="4:33" s="2" customFormat="1" ht="27" customHeight="1" x14ac:dyDescent="0.3">
      <c r="D610" s="23"/>
      <c r="AF610" s="34"/>
      <c r="AG610" s="34"/>
    </row>
    <row r="611" spans="4:33" s="2" customFormat="1" ht="27" customHeight="1" x14ac:dyDescent="0.3">
      <c r="D611" s="23"/>
      <c r="AF611" s="34"/>
      <c r="AG611" s="34"/>
    </row>
    <row r="612" spans="4:33" s="2" customFormat="1" ht="27" customHeight="1" x14ac:dyDescent="0.3">
      <c r="D612" s="23"/>
      <c r="AF612" s="34"/>
      <c r="AG612" s="34"/>
    </row>
    <row r="613" spans="4:33" s="2" customFormat="1" ht="27" customHeight="1" x14ac:dyDescent="0.3">
      <c r="D613" s="23"/>
      <c r="AF613" s="34"/>
      <c r="AG613" s="34"/>
    </row>
    <row r="614" spans="4:33" s="2" customFormat="1" ht="27" customHeight="1" x14ac:dyDescent="0.3">
      <c r="D614" s="23"/>
      <c r="AF614" s="34"/>
      <c r="AG614" s="34"/>
    </row>
    <row r="615" spans="4:33" s="2" customFormat="1" ht="27" customHeight="1" x14ac:dyDescent="0.3">
      <c r="D615" s="23"/>
      <c r="AF615" s="34"/>
      <c r="AG615" s="34"/>
    </row>
    <row r="616" spans="4:33" s="2" customFormat="1" ht="27" customHeight="1" x14ac:dyDescent="0.3">
      <c r="D616" s="23"/>
      <c r="AF616" s="34"/>
      <c r="AG616" s="34"/>
    </row>
    <row r="617" spans="4:33" s="2" customFormat="1" ht="27" customHeight="1" x14ac:dyDescent="0.3">
      <c r="D617" s="23"/>
      <c r="AF617" s="34"/>
      <c r="AG617" s="34"/>
    </row>
    <row r="618" spans="4:33" s="2" customFormat="1" ht="27" customHeight="1" x14ac:dyDescent="0.3">
      <c r="D618" s="23"/>
      <c r="AF618" s="34"/>
      <c r="AG618" s="34"/>
    </row>
    <row r="619" spans="4:33" s="2" customFormat="1" ht="27" customHeight="1" x14ac:dyDescent="0.3">
      <c r="D619" s="23"/>
      <c r="AF619" s="34"/>
      <c r="AG619" s="34"/>
    </row>
    <row r="620" spans="4:33" s="2" customFormat="1" ht="27" customHeight="1" x14ac:dyDescent="0.3">
      <c r="D620" s="23"/>
      <c r="AF620" s="34"/>
      <c r="AG620" s="34"/>
    </row>
    <row r="621" spans="4:33" s="2" customFormat="1" ht="27" customHeight="1" x14ac:dyDescent="0.3">
      <c r="D621" s="23"/>
      <c r="AF621" s="34"/>
      <c r="AG621" s="34"/>
    </row>
    <row r="622" spans="4:33" s="2" customFormat="1" ht="27" customHeight="1" x14ac:dyDescent="0.3">
      <c r="D622" s="23"/>
      <c r="AF622" s="34"/>
      <c r="AG622" s="34"/>
    </row>
    <row r="623" spans="4:33" s="2" customFormat="1" ht="27" customHeight="1" x14ac:dyDescent="0.3">
      <c r="D623" s="23"/>
      <c r="AF623" s="34"/>
      <c r="AG623" s="34"/>
    </row>
    <row r="624" spans="4:33" s="2" customFormat="1" ht="27" customHeight="1" x14ac:dyDescent="0.3">
      <c r="D624" s="23"/>
      <c r="AF624" s="34"/>
      <c r="AG624" s="34"/>
    </row>
    <row r="625" spans="4:33" s="2" customFormat="1" ht="27" customHeight="1" x14ac:dyDescent="0.3">
      <c r="D625" s="23"/>
      <c r="AF625" s="34"/>
      <c r="AG625" s="34"/>
    </row>
    <row r="626" spans="4:33" s="2" customFormat="1" ht="27" customHeight="1" x14ac:dyDescent="0.3">
      <c r="D626" s="23"/>
      <c r="AF626" s="34"/>
      <c r="AG626" s="34"/>
    </row>
    <row r="627" spans="4:33" s="2" customFormat="1" ht="27" customHeight="1" x14ac:dyDescent="0.3">
      <c r="D627" s="23"/>
      <c r="AF627" s="34"/>
      <c r="AG627" s="34"/>
    </row>
    <row r="628" spans="4:33" s="2" customFormat="1" ht="27" customHeight="1" x14ac:dyDescent="0.3">
      <c r="D628" s="23"/>
      <c r="AF628" s="34"/>
      <c r="AG628" s="34"/>
    </row>
    <row r="629" spans="4:33" s="2" customFormat="1" ht="27" customHeight="1" x14ac:dyDescent="0.3">
      <c r="D629" s="23"/>
      <c r="AF629" s="34"/>
      <c r="AG629" s="34"/>
    </row>
    <row r="630" spans="4:33" s="2" customFormat="1" ht="27" customHeight="1" x14ac:dyDescent="0.3">
      <c r="D630" s="23"/>
      <c r="AF630" s="34"/>
      <c r="AG630" s="34"/>
    </row>
    <row r="631" spans="4:33" s="2" customFormat="1" ht="27" customHeight="1" x14ac:dyDescent="0.3">
      <c r="D631" s="23"/>
      <c r="AF631" s="34"/>
      <c r="AG631" s="34"/>
    </row>
    <row r="632" spans="4:33" s="2" customFormat="1" ht="27" customHeight="1" x14ac:dyDescent="0.3">
      <c r="D632" s="23"/>
      <c r="AF632" s="34"/>
      <c r="AG632" s="34"/>
    </row>
    <row r="633" spans="4:33" s="2" customFormat="1" ht="27" customHeight="1" x14ac:dyDescent="0.3">
      <c r="D633" s="23"/>
      <c r="AF633" s="34"/>
      <c r="AG633" s="34"/>
    </row>
    <row r="634" spans="4:33" s="2" customFormat="1" ht="27" customHeight="1" x14ac:dyDescent="0.3">
      <c r="D634" s="23"/>
      <c r="AF634" s="34"/>
      <c r="AG634" s="34"/>
    </row>
    <row r="635" spans="4:33" s="2" customFormat="1" ht="27" customHeight="1" x14ac:dyDescent="0.3">
      <c r="D635" s="23"/>
      <c r="AF635" s="34"/>
      <c r="AG635" s="34"/>
    </row>
    <row r="636" spans="4:33" s="2" customFormat="1" ht="27" customHeight="1" x14ac:dyDescent="0.3">
      <c r="D636" s="23"/>
      <c r="AF636" s="34"/>
      <c r="AG636" s="34"/>
    </row>
    <row r="637" spans="4:33" s="2" customFormat="1" ht="27" customHeight="1" x14ac:dyDescent="0.3">
      <c r="D637" s="23"/>
      <c r="AF637" s="34"/>
      <c r="AG637" s="34"/>
    </row>
    <row r="638" spans="4:33" s="2" customFormat="1" ht="27" customHeight="1" x14ac:dyDescent="0.3">
      <c r="D638" s="23"/>
      <c r="AF638" s="34"/>
      <c r="AG638" s="34"/>
    </row>
    <row r="639" spans="4:33" s="2" customFormat="1" ht="27" customHeight="1" x14ac:dyDescent="0.3">
      <c r="D639" s="23"/>
      <c r="AF639" s="34"/>
      <c r="AG639" s="34"/>
    </row>
    <row r="640" spans="4:33" s="2" customFormat="1" ht="27" customHeight="1" x14ac:dyDescent="0.3">
      <c r="D640" s="23"/>
      <c r="AF640" s="34"/>
      <c r="AG640" s="34"/>
    </row>
    <row r="641" spans="4:33" s="2" customFormat="1" ht="27" customHeight="1" x14ac:dyDescent="0.3">
      <c r="D641" s="23"/>
      <c r="AF641" s="34"/>
      <c r="AG641" s="34"/>
    </row>
    <row r="642" spans="4:33" s="2" customFormat="1" ht="27" customHeight="1" x14ac:dyDescent="0.3">
      <c r="D642" s="23"/>
      <c r="AF642" s="34"/>
      <c r="AG642" s="34"/>
    </row>
    <row r="643" spans="4:33" s="2" customFormat="1" ht="27" customHeight="1" x14ac:dyDescent="0.3">
      <c r="D643" s="23"/>
      <c r="AF643" s="34"/>
      <c r="AG643" s="34"/>
    </row>
    <row r="644" spans="4:33" s="2" customFormat="1" ht="27" customHeight="1" x14ac:dyDescent="0.3">
      <c r="D644" s="23"/>
      <c r="AF644" s="34"/>
      <c r="AG644" s="34"/>
    </row>
    <row r="645" spans="4:33" s="2" customFormat="1" ht="27" customHeight="1" x14ac:dyDescent="0.3">
      <c r="D645" s="23"/>
      <c r="AF645" s="34"/>
      <c r="AG645" s="34"/>
    </row>
    <row r="646" spans="4:33" s="2" customFormat="1" ht="27" customHeight="1" x14ac:dyDescent="0.3">
      <c r="D646" s="23"/>
      <c r="AF646" s="34"/>
      <c r="AG646" s="34"/>
    </row>
    <row r="647" spans="4:33" s="2" customFormat="1" ht="27" customHeight="1" x14ac:dyDescent="0.3">
      <c r="D647" s="23"/>
      <c r="AF647" s="34"/>
      <c r="AG647" s="34"/>
    </row>
    <row r="648" spans="4:33" s="2" customFormat="1" ht="27" customHeight="1" x14ac:dyDescent="0.3">
      <c r="D648" s="23"/>
      <c r="AF648" s="34"/>
      <c r="AG648" s="34"/>
    </row>
    <row r="649" spans="4:33" s="2" customFormat="1" ht="27" customHeight="1" x14ac:dyDescent="0.3">
      <c r="D649" s="23"/>
      <c r="AF649" s="34"/>
      <c r="AG649" s="34"/>
    </row>
    <row r="650" spans="4:33" s="2" customFormat="1" ht="27" customHeight="1" x14ac:dyDescent="0.3">
      <c r="D650" s="23"/>
      <c r="AF650" s="34"/>
      <c r="AG650" s="34"/>
    </row>
    <row r="651" spans="4:33" s="2" customFormat="1" ht="27" customHeight="1" x14ac:dyDescent="0.3">
      <c r="D651" s="23"/>
      <c r="AF651" s="34"/>
      <c r="AG651" s="34"/>
    </row>
    <row r="652" spans="4:33" s="2" customFormat="1" ht="27" customHeight="1" x14ac:dyDescent="0.3">
      <c r="D652" s="23"/>
      <c r="AF652" s="34"/>
      <c r="AG652" s="34"/>
    </row>
    <row r="653" spans="4:33" s="2" customFormat="1" ht="27" customHeight="1" x14ac:dyDescent="0.3">
      <c r="D653" s="23"/>
      <c r="AF653" s="34"/>
      <c r="AG653" s="34"/>
    </row>
    <row r="654" spans="4:33" s="2" customFormat="1" ht="27" customHeight="1" x14ac:dyDescent="0.3">
      <c r="D654" s="23"/>
      <c r="AF654" s="34"/>
      <c r="AG654" s="34"/>
    </row>
    <row r="655" spans="4:33" s="2" customFormat="1" ht="27" customHeight="1" x14ac:dyDescent="0.3">
      <c r="D655" s="23"/>
      <c r="AF655" s="34"/>
      <c r="AG655" s="34"/>
    </row>
    <row r="656" spans="4:33" s="2" customFormat="1" ht="27" customHeight="1" x14ac:dyDescent="0.3">
      <c r="D656" s="23"/>
      <c r="AF656" s="34"/>
      <c r="AG656" s="34"/>
    </row>
    <row r="657" spans="4:33" s="2" customFormat="1" ht="27" customHeight="1" x14ac:dyDescent="0.3">
      <c r="D657" s="23"/>
      <c r="AF657" s="34"/>
      <c r="AG657" s="34"/>
    </row>
    <row r="658" spans="4:33" s="2" customFormat="1" ht="27" customHeight="1" x14ac:dyDescent="0.3">
      <c r="D658" s="23"/>
      <c r="AF658" s="34"/>
      <c r="AG658" s="34"/>
    </row>
    <row r="659" spans="4:33" s="2" customFormat="1" ht="27" customHeight="1" x14ac:dyDescent="0.3">
      <c r="D659" s="23"/>
      <c r="AF659" s="34"/>
      <c r="AG659" s="34"/>
    </row>
    <row r="660" spans="4:33" s="2" customFormat="1" ht="27" customHeight="1" x14ac:dyDescent="0.3">
      <c r="D660" s="23"/>
      <c r="AF660" s="34"/>
      <c r="AG660" s="34"/>
    </row>
    <row r="661" spans="4:33" s="2" customFormat="1" ht="27" customHeight="1" x14ac:dyDescent="0.3">
      <c r="D661" s="23"/>
      <c r="AF661" s="34"/>
      <c r="AG661" s="34"/>
    </row>
    <row r="662" spans="4:33" s="2" customFormat="1" ht="27" customHeight="1" x14ac:dyDescent="0.3">
      <c r="D662" s="23"/>
      <c r="AF662" s="34"/>
      <c r="AG662" s="34"/>
    </row>
    <row r="663" spans="4:33" s="2" customFormat="1" ht="27" customHeight="1" x14ac:dyDescent="0.3">
      <c r="D663" s="23"/>
      <c r="AF663" s="34"/>
      <c r="AG663" s="34"/>
    </row>
    <row r="664" spans="4:33" s="2" customFormat="1" ht="27" customHeight="1" x14ac:dyDescent="0.3">
      <c r="D664" s="23"/>
      <c r="AF664" s="34"/>
      <c r="AG664" s="34"/>
    </row>
    <row r="665" spans="4:33" s="2" customFormat="1" ht="27" customHeight="1" x14ac:dyDescent="0.3">
      <c r="D665" s="23"/>
      <c r="AF665" s="34"/>
      <c r="AG665" s="34"/>
    </row>
    <row r="666" spans="4:33" s="2" customFormat="1" ht="27" customHeight="1" x14ac:dyDescent="0.3">
      <c r="D666" s="23"/>
      <c r="AF666" s="34"/>
      <c r="AG666" s="34"/>
    </row>
    <row r="667" spans="4:33" s="2" customFormat="1" ht="27" customHeight="1" x14ac:dyDescent="0.3">
      <c r="D667" s="23"/>
      <c r="AF667" s="34"/>
      <c r="AG667" s="34"/>
    </row>
    <row r="668" spans="4:33" s="2" customFormat="1" ht="27" customHeight="1" x14ac:dyDescent="0.3">
      <c r="D668" s="23"/>
      <c r="AF668" s="34"/>
      <c r="AG668" s="34"/>
    </row>
    <row r="669" spans="4:33" s="2" customFormat="1" ht="27" customHeight="1" x14ac:dyDescent="0.3">
      <c r="D669" s="23"/>
      <c r="AF669" s="34"/>
      <c r="AG669" s="34"/>
    </row>
    <row r="670" spans="4:33" s="2" customFormat="1" ht="27" customHeight="1" x14ac:dyDescent="0.3">
      <c r="D670" s="23"/>
      <c r="AF670" s="34"/>
      <c r="AG670" s="34"/>
    </row>
    <row r="671" spans="4:33" s="2" customFormat="1" ht="27" customHeight="1" x14ac:dyDescent="0.3">
      <c r="D671" s="23"/>
      <c r="AF671" s="34"/>
      <c r="AG671" s="34"/>
    </row>
    <row r="672" spans="4:33" s="2" customFormat="1" ht="27" customHeight="1" x14ac:dyDescent="0.3">
      <c r="D672" s="23"/>
      <c r="AF672" s="34"/>
      <c r="AG672" s="34"/>
    </row>
    <row r="673" spans="4:33" s="2" customFormat="1" ht="27" customHeight="1" x14ac:dyDescent="0.3">
      <c r="D673" s="23"/>
      <c r="AF673" s="34"/>
      <c r="AG673" s="34"/>
    </row>
    <row r="674" spans="4:33" s="2" customFormat="1" ht="27" customHeight="1" x14ac:dyDescent="0.3">
      <c r="D674" s="23"/>
      <c r="AF674" s="34"/>
      <c r="AG674" s="34"/>
    </row>
    <row r="675" spans="4:33" s="2" customFormat="1" ht="27" customHeight="1" x14ac:dyDescent="0.3">
      <c r="D675" s="23"/>
      <c r="AF675" s="34"/>
      <c r="AG675" s="34"/>
    </row>
    <row r="676" spans="4:33" s="2" customFormat="1" ht="27" customHeight="1" x14ac:dyDescent="0.3">
      <c r="D676" s="23"/>
      <c r="AF676" s="34"/>
      <c r="AG676" s="34"/>
    </row>
    <row r="677" spans="4:33" s="2" customFormat="1" ht="27" customHeight="1" x14ac:dyDescent="0.3">
      <c r="D677" s="23"/>
      <c r="AF677" s="34"/>
      <c r="AG677" s="34"/>
    </row>
    <row r="678" spans="4:33" s="2" customFormat="1" ht="27" customHeight="1" x14ac:dyDescent="0.3">
      <c r="D678" s="23"/>
      <c r="AF678" s="34"/>
      <c r="AG678" s="34"/>
    </row>
    <row r="679" spans="4:33" s="2" customFormat="1" ht="27" customHeight="1" x14ac:dyDescent="0.3">
      <c r="D679" s="23"/>
      <c r="AF679" s="34"/>
      <c r="AG679" s="34"/>
    </row>
    <row r="680" spans="4:33" s="2" customFormat="1" ht="27" customHeight="1" x14ac:dyDescent="0.3">
      <c r="D680" s="23"/>
      <c r="AF680" s="34"/>
      <c r="AG680" s="34"/>
    </row>
    <row r="681" spans="4:33" s="2" customFormat="1" ht="27" customHeight="1" x14ac:dyDescent="0.3">
      <c r="D681" s="23"/>
      <c r="AF681" s="34"/>
      <c r="AG681" s="34"/>
    </row>
    <row r="682" spans="4:33" s="2" customFormat="1" ht="27" customHeight="1" x14ac:dyDescent="0.3">
      <c r="D682" s="23"/>
      <c r="AF682" s="34"/>
      <c r="AG682" s="34"/>
    </row>
    <row r="683" spans="4:33" s="2" customFormat="1" ht="27" customHeight="1" x14ac:dyDescent="0.3">
      <c r="D683" s="23"/>
      <c r="AF683" s="34"/>
      <c r="AG683" s="34"/>
    </row>
    <row r="684" spans="4:33" s="2" customFormat="1" ht="27" customHeight="1" x14ac:dyDescent="0.3">
      <c r="D684" s="23"/>
      <c r="AF684" s="34"/>
      <c r="AG684" s="34"/>
    </row>
    <row r="685" spans="4:33" s="2" customFormat="1" ht="27" customHeight="1" x14ac:dyDescent="0.3">
      <c r="D685" s="23"/>
      <c r="AF685" s="34"/>
      <c r="AG685" s="34"/>
    </row>
    <row r="686" spans="4:33" s="2" customFormat="1" ht="27" customHeight="1" x14ac:dyDescent="0.3">
      <c r="D686" s="23"/>
      <c r="AF686" s="34"/>
      <c r="AG686" s="34"/>
    </row>
    <row r="687" spans="4:33" s="2" customFormat="1" ht="27" customHeight="1" x14ac:dyDescent="0.3">
      <c r="D687" s="23"/>
      <c r="AF687" s="34"/>
      <c r="AG687" s="34"/>
    </row>
    <row r="688" spans="4:33" s="2" customFormat="1" ht="27" customHeight="1" x14ac:dyDescent="0.3">
      <c r="D688" s="23"/>
      <c r="AF688" s="34"/>
      <c r="AG688" s="34"/>
    </row>
    <row r="689" spans="4:33" s="2" customFormat="1" ht="27" customHeight="1" x14ac:dyDescent="0.3">
      <c r="D689" s="23"/>
      <c r="AF689" s="34"/>
      <c r="AG689" s="34"/>
    </row>
    <row r="690" spans="4:33" s="2" customFormat="1" ht="27" customHeight="1" x14ac:dyDescent="0.3">
      <c r="D690" s="23"/>
      <c r="AF690" s="34"/>
      <c r="AG690" s="34"/>
    </row>
    <row r="691" spans="4:33" s="2" customFormat="1" ht="27" customHeight="1" x14ac:dyDescent="0.3">
      <c r="D691" s="23"/>
      <c r="AF691" s="34"/>
      <c r="AG691" s="34"/>
    </row>
    <row r="692" spans="4:33" s="2" customFormat="1" ht="27" customHeight="1" x14ac:dyDescent="0.3">
      <c r="D692" s="23"/>
      <c r="AF692" s="34"/>
      <c r="AG692" s="34"/>
    </row>
    <row r="693" spans="4:33" s="2" customFormat="1" ht="27" customHeight="1" x14ac:dyDescent="0.3">
      <c r="D693" s="23"/>
      <c r="AF693" s="34"/>
      <c r="AG693" s="34"/>
    </row>
    <row r="694" spans="4:33" s="2" customFormat="1" ht="27" customHeight="1" x14ac:dyDescent="0.3">
      <c r="D694" s="23"/>
      <c r="AF694" s="34"/>
      <c r="AG694" s="34"/>
    </row>
    <row r="695" spans="4:33" s="2" customFormat="1" ht="27" customHeight="1" x14ac:dyDescent="0.3">
      <c r="D695" s="23"/>
      <c r="AF695" s="34"/>
      <c r="AG695" s="34"/>
    </row>
    <row r="696" spans="4:33" s="2" customFormat="1" ht="27" customHeight="1" x14ac:dyDescent="0.3">
      <c r="D696" s="23"/>
      <c r="AF696" s="34"/>
      <c r="AG696" s="34"/>
    </row>
    <row r="697" spans="4:33" s="2" customFormat="1" ht="27" customHeight="1" x14ac:dyDescent="0.3">
      <c r="D697" s="23"/>
      <c r="AF697" s="34"/>
      <c r="AG697" s="34"/>
    </row>
    <row r="698" spans="4:33" s="2" customFormat="1" ht="27" customHeight="1" x14ac:dyDescent="0.3">
      <c r="D698" s="23"/>
      <c r="AF698" s="34"/>
      <c r="AG698" s="34"/>
    </row>
    <row r="699" spans="4:33" s="2" customFormat="1" ht="27" customHeight="1" x14ac:dyDescent="0.3">
      <c r="D699" s="23"/>
      <c r="AF699" s="34"/>
      <c r="AG699" s="34"/>
    </row>
    <row r="700" spans="4:33" s="2" customFormat="1" ht="27" customHeight="1" x14ac:dyDescent="0.3">
      <c r="D700" s="23"/>
      <c r="AF700" s="34"/>
      <c r="AG700" s="34"/>
    </row>
    <row r="701" spans="4:33" s="2" customFormat="1" ht="27" customHeight="1" x14ac:dyDescent="0.3">
      <c r="D701" s="23"/>
      <c r="AF701" s="34"/>
      <c r="AG701" s="34"/>
    </row>
    <row r="702" spans="4:33" s="2" customFormat="1" ht="27" customHeight="1" x14ac:dyDescent="0.3">
      <c r="D702" s="23"/>
      <c r="AF702" s="34"/>
      <c r="AG702" s="34"/>
    </row>
    <row r="703" spans="4:33" s="2" customFormat="1" ht="27" customHeight="1" x14ac:dyDescent="0.3">
      <c r="D703" s="23"/>
      <c r="AF703" s="34"/>
      <c r="AG703" s="34"/>
    </row>
    <row r="704" spans="4:33" s="2" customFormat="1" ht="27" customHeight="1" x14ac:dyDescent="0.3">
      <c r="D704" s="23"/>
      <c r="AF704" s="34"/>
      <c r="AG704" s="34"/>
    </row>
    <row r="705" spans="4:33" s="2" customFormat="1" ht="27" customHeight="1" x14ac:dyDescent="0.3">
      <c r="D705" s="23"/>
      <c r="AF705" s="34"/>
      <c r="AG705" s="34"/>
    </row>
    <row r="706" spans="4:33" s="2" customFormat="1" ht="27" customHeight="1" x14ac:dyDescent="0.3">
      <c r="D706" s="23"/>
      <c r="AF706" s="34"/>
      <c r="AG706" s="34"/>
    </row>
    <row r="707" spans="4:33" s="2" customFormat="1" ht="27" customHeight="1" x14ac:dyDescent="0.3">
      <c r="D707" s="23"/>
      <c r="AF707" s="34"/>
      <c r="AG707" s="34"/>
    </row>
    <row r="708" spans="4:33" s="2" customFormat="1" ht="27" customHeight="1" x14ac:dyDescent="0.3">
      <c r="D708" s="23"/>
      <c r="AF708" s="34"/>
      <c r="AG708" s="34"/>
    </row>
    <row r="709" spans="4:33" s="2" customFormat="1" ht="27" customHeight="1" x14ac:dyDescent="0.3">
      <c r="D709" s="23"/>
      <c r="AF709" s="34"/>
      <c r="AG709" s="34"/>
    </row>
    <row r="710" spans="4:33" s="2" customFormat="1" ht="27" customHeight="1" x14ac:dyDescent="0.3">
      <c r="D710" s="23"/>
      <c r="AF710" s="34"/>
      <c r="AG710" s="34"/>
    </row>
    <row r="711" spans="4:33" s="2" customFormat="1" ht="27" customHeight="1" x14ac:dyDescent="0.3">
      <c r="D711" s="23"/>
      <c r="AF711" s="34"/>
      <c r="AG711" s="34"/>
    </row>
    <row r="712" spans="4:33" s="2" customFormat="1" ht="27" customHeight="1" x14ac:dyDescent="0.3">
      <c r="D712" s="23"/>
      <c r="AF712" s="34"/>
      <c r="AG712" s="34"/>
    </row>
    <row r="713" spans="4:33" s="2" customFormat="1" ht="27" customHeight="1" x14ac:dyDescent="0.3">
      <c r="D713" s="23"/>
      <c r="AF713" s="34"/>
      <c r="AG713" s="34"/>
    </row>
    <row r="714" spans="4:33" s="2" customFormat="1" ht="27" customHeight="1" x14ac:dyDescent="0.3">
      <c r="D714" s="23"/>
      <c r="AF714" s="34"/>
      <c r="AG714" s="34"/>
    </row>
    <row r="715" spans="4:33" s="2" customFormat="1" ht="27" customHeight="1" x14ac:dyDescent="0.3">
      <c r="D715" s="23"/>
      <c r="AF715" s="34"/>
      <c r="AG715" s="34"/>
    </row>
    <row r="716" spans="4:33" s="2" customFormat="1" ht="27" customHeight="1" x14ac:dyDescent="0.3">
      <c r="D716" s="23"/>
      <c r="AF716" s="34"/>
      <c r="AG716" s="34"/>
    </row>
    <row r="717" spans="4:33" s="2" customFormat="1" ht="27" customHeight="1" x14ac:dyDescent="0.3">
      <c r="D717" s="23"/>
      <c r="AF717" s="34"/>
      <c r="AG717" s="34"/>
    </row>
    <row r="718" spans="4:33" s="2" customFormat="1" ht="27" customHeight="1" x14ac:dyDescent="0.3">
      <c r="D718" s="23"/>
      <c r="AF718" s="34"/>
      <c r="AG718" s="34"/>
    </row>
    <row r="719" spans="4:33" s="2" customFormat="1" ht="27" customHeight="1" x14ac:dyDescent="0.3">
      <c r="D719" s="23"/>
      <c r="AF719" s="34"/>
      <c r="AG719" s="34"/>
    </row>
    <row r="720" spans="4:33" s="2" customFormat="1" ht="27" customHeight="1" x14ac:dyDescent="0.3">
      <c r="D720" s="23"/>
      <c r="AF720" s="34"/>
      <c r="AG720" s="34"/>
    </row>
    <row r="721" spans="4:33" s="2" customFormat="1" ht="27" customHeight="1" x14ac:dyDescent="0.3">
      <c r="D721" s="23"/>
      <c r="AF721" s="34"/>
      <c r="AG721" s="34"/>
    </row>
    <row r="722" spans="4:33" s="2" customFormat="1" ht="27" customHeight="1" x14ac:dyDescent="0.3">
      <c r="D722" s="23"/>
      <c r="AF722" s="34"/>
      <c r="AG722" s="34"/>
    </row>
    <row r="723" spans="4:33" s="2" customFormat="1" ht="27" customHeight="1" x14ac:dyDescent="0.3">
      <c r="D723" s="23"/>
      <c r="AF723" s="34"/>
      <c r="AG723" s="34"/>
    </row>
    <row r="724" spans="4:33" s="2" customFormat="1" ht="27" customHeight="1" x14ac:dyDescent="0.3">
      <c r="D724" s="23"/>
      <c r="AF724" s="34"/>
      <c r="AG724" s="34"/>
    </row>
    <row r="725" spans="4:33" s="2" customFormat="1" ht="27" customHeight="1" x14ac:dyDescent="0.3">
      <c r="D725" s="23"/>
      <c r="AF725" s="34"/>
      <c r="AG725" s="34"/>
    </row>
    <row r="726" spans="4:33" s="2" customFormat="1" ht="27" customHeight="1" x14ac:dyDescent="0.3">
      <c r="D726" s="23"/>
      <c r="AF726" s="34"/>
      <c r="AG726" s="34"/>
    </row>
    <row r="727" spans="4:33" s="2" customFormat="1" ht="27" customHeight="1" x14ac:dyDescent="0.3">
      <c r="D727" s="23"/>
      <c r="AF727" s="34"/>
      <c r="AG727" s="34"/>
    </row>
    <row r="728" spans="4:33" s="2" customFormat="1" ht="27" customHeight="1" x14ac:dyDescent="0.3">
      <c r="D728" s="23"/>
      <c r="AF728" s="34"/>
      <c r="AG728" s="34"/>
    </row>
    <row r="729" spans="4:33" s="2" customFormat="1" ht="27" customHeight="1" x14ac:dyDescent="0.3">
      <c r="D729" s="23"/>
      <c r="AF729" s="34"/>
      <c r="AG729" s="34"/>
    </row>
    <row r="730" spans="4:33" s="2" customFormat="1" ht="27" customHeight="1" x14ac:dyDescent="0.3">
      <c r="D730" s="23"/>
      <c r="AF730" s="34"/>
      <c r="AG730" s="34"/>
    </row>
    <row r="731" spans="4:33" s="2" customFormat="1" ht="27" customHeight="1" x14ac:dyDescent="0.3">
      <c r="D731" s="23"/>
      <c r="AF731" s="34"/>
      <c r="AG731" s="34"/>
    </row>
    <row r="732" spans="4:33" s="2" customFormat="1" ht="27" customHeight="1" x14ac:dyDescent="0.3">
      <c r="D732" s="23"/>
      <c r="AF732" s="34"/>
      <c r="AG732" s="34"/>
    </row>
    <row r="733" spans="4:33" s="2" customFormat="1" ht="27" customHeight="1" x14ac:dyDescent="0.3">
      <c r="D733" s="23"/>
      <c r="AF733" s="34"/>
      <c r="AG733" s="34"/>
    </row>
    <row r="734" spans="4:33" s="2" customFormat="1" ht="27" customHeight="1" x14ac:dyDescent="0.3">
      <c r="D734" s="23"/>
      <c r="AF734" s="34"/>
      <c r="AG734" s="34"/>
    </row>
    <row r="735" spans="4:33" s="2" customFormat="1" ht="27" customHeight="1" x14ac:dyDescent="0.3">
      <c r="D735" s="23"/>
      <c r="AF735" s="34"/>
      <c r="AG735" s="34"/>
    </row>
    <row r="736" spans="4:33" s="2" customFormat="1" ht="27" customHeight="1" x14ac:dyDescent="0.3">
      <c r="D736" s="23"/>
      <c r="AF736" s="34"/>
      <c r="AG736" s="34"/>
    </row>
    <row r="737" spans="4:33" s="2" customFormat="1" ht="27" customHeight="1" x14ac:dyDescent="0.3">
      <c r="D737" s="23"/>
      <c r="AF737" s="34"/>
      <c r="AG737" s="34"/>
    </row>
    <row r="738" spans="4:33" s="2" customFormat="1" ht="27" customHeight="1" x14ac:dyDescent="0.3">
      <c r="D738" s="23"/>
      <c r="AF738" s="34"/>
      <c r="AG738" s="34"/>
    </row>
    <row r="739" spans="4:33" s="2" customFormat="1" ht="27" customHeight="1" x14ac:dyDescent="0.3">
      <c r="D739" s="23"/>
      <c r="AF739" s="34"/>
      <c r="AG739" s="34"/>
    </row>
    <row r="740" spans="4:33" s="2" customFormat="1" ht="27" customHeight="1" x14ac:dyDescent="0.3">
      <c r="D740" s="23"/>
      <c r="AF740" s="34"/>
      <c r="AG740" s="34"/>
    </row>
    <row r="741" spans="4:33" s="2" customFormat="1" ht="27" customHeight="1" x14ac:dyDescent="0.3">
      <c r="D741" s="23"/>
      <c r="AF741" s="34"/>
      <c r="AG741" s="34"/>
    </row>
    <row r="742" spans="4:33" s="2" customFormat="1" ht="27" customHeight="1" x14ac:dyDescent="0.3">
      <c r="D742" s="23"/>
      <c r="AF742" s="34"/>
      <c r="AG742" s="34"/>
    </row>
    <row r="743" spans="4:33" s="2" customFormat="1" ht="27" customHeight="1" x14ac:dyDescent="0.3">
      <c r="D743" s="23"/>
      <c r="AF743" s="34"/>
      <c r="AG743" s="34"/>
    </row>
    <row r="744" spans="4:33" s="2" customFormat="1" ht="27" customHeight="1" x14ac:dyDescent="0.3">
      <c r="D744" s="23"/>
      <c r="AF744" s="34"/>
      <c r="AG744" s="34"/>
    </row>
    <row r="745" spans="4:33" s="2" customFormat="1" ht="27" customHeight="1" x14ac:dyDescent="0.3">
      <c r="D745" s="23"/>
      <c r="AF745" s="34"/>
      <c r="AG745" s="34"/>
    </row>
    <row r="746" spans="4:33" s="2" customFormat="1" ht="27" customHeight="1" x14ac:dyDescent="0.3">
      <c r="D746" s="23"/>
      <c r="AF746" s="34"/>
      <c r="AG746" s="34"/>
    </row>
    <row r="747" spans="4:33" s="2" customFormat="1" ht="27" customHeight="1" x14ac:dyDescent="0.3">
      <c r="D747" s="23"/>
      <c r="AF747" s="34"/>
      <c r="AG747" s="34"/>
    </row>
    <row r="748" spans="4:33" s="2" customFormat="1" ht="27" customHeight="1" x14ac:dyDescent="0.3">
      <c r="D748" s="23"/>
      <c r="AF748" s="34"/>
      <c r="AG748" s="34"/>
    </row>
    <row r="749" spans="4:33" s="2" customFormat="1" ht="27" customHeight="1" x14ac:dyDescent="0.3">
      <c r="D749" s="23"/>
      <c r="AF749" s="34"/>
      <c r="AG749" s="34"/>
    </row>
    <row r="750" spans="4:33" s="2" customFormat="1" ht="27" customHeight="1" x14ac:dyDescent="0.3">
      <c r="D750" s="23"/>
      <c r="AF750" s="34"/>
      <c r="AG750" s="34"/>
    </row>
    <row r="751" spans="4:33" s="2" customFormat="1" ht="27" customHeight="1" x14ac:dyDescent="0.3">
      <c r="D751" s="23"/>
      <c r="AF751" s="34"/>
      <c r="AG751" s="34"/>
    </row>
    <row r="752" spans="4:33" s="2" customFormat="1" ht="27" customHeight="1" x14ac:dyDescent="0.3">
      <c r="D752" s="23"/>
      <c r="AF752" s="34"/>
      <c r="AG752" s="34"/>
    </row>
    <row r="753" spans="4:33" s="2" customFormat="1" ht="27" customHeight="1" x14ac:dyDescent="0.3">
      <c r="D753" s="23"/>
      <c r="AF753" s="34"/>
      <c r="AG753" s="34"/>
    </row>
    <row r="754" spans="4:33" s="2" customFormat="1" ht="27" customHeight="1" x14ac:dyDescent="0.3">
      <c r="D754" s="23"/>
      <c r="AF754" s="34"/>
      <c r="AG754" s="34"/>
    </row>
    <row r="755" spans="4:33" s="2" customFormat="1" ht="27" customHeight="1" x14ac:dyDescent="0.3">
      <c r="D755" s="23"/>
      <c r="AF755" s="34"/>
      <c r="AG755" s="34"/>
    </row>
    <row r="756" spans="4:33" s="2" customFormat="1" ht="27" customHeight="1" x14ac:dyDescent="0.3">
      <c r="D756" s="23"/>
      <c r="AF756" s="34"/>
      <c r="AG756" s="34"/>
    </row>
    <row r="757" spans="4:33" s="2" customFormat="1" ht="27" customHeight="1" x14ac:dyDescent="0.3">
      <c r="D757" s="23"/>
      <c r="AF757" s="34"/>
      <c r="AG757" s="34"/>
    </row>
    <row r="758" spans="4:33" s="2" customFormat="1" ht="27" customHeight="1" x14ac:dyDescent="0.3">
      <c r="D758" s="23"/>
      <c r="AF758" s="34"/>
      <c r="AG758" s="34"/>
    </row>
    <row r="759" spans="4:33" s="2" customFormat="1" ht="27" customHeight="1" x14ac:dyDescent="0.3">
      <c r="D759" s="23"/>
      <c r="AF759" s="34"/>
      <c r="AG759" s="34"/>
    </row>
    <row r="760" spans="4:33" s="2" customFormat="1" ht="27" customHeight="1" x14ac:dyDescent="0.3">
      <c r="D760" s="23"/>
      <c r="AF760" s="34"/>
      <c r="AG760" s="34"/>
    </row>
    <row r="761" spans="4:33" s="2" customFormat="1" ht="27" customHeight="1" x14ac:dyDescent="0.3">
      <c r="D761" s="23"/>
      <c r="AF761" s="34"/>
      <c r="AG761" s="34"/>
    </row>
    <row r="762" spans="4:33" s="2" customFormat="1" ht="27" customHeight="1" x14ac:dyDescent="0.3">
      <c r="D762" s="23"/>
      <c r="AF762" s="34"/>
      <c r="AG762" s="34"/>
    </row>
    <row r="763" spans="4:33" s="2" customFormat="1" ht="27" customHeight="1" x14ac:dyDescent="0.3">
      <c r="D763" s="23"/>
      <c r="AF763" s="34"/>
      <c r="AG763" s="34"/>
    </row>
    <row r="764" spans="4:33" s="2" customFormat="1" ht="27" customHeight="1" x14ac:dyDescent="0.3">
      <c r="D764" s="23"/>
      <c r="AF764" s="34"/>
      <c r="AG764" s="34"/>
    </row>
    <row r="765" spans="4:33" s="2" customFormat="1" ht="27" customHeight="1" x14ac:dyDescent="0.3">
      <c r="D765" s="23"/>
      <c r="AF765" s="34"/>
      <c r="AG765" s="34"/>
    </row>
    <row r="766" spans="4:33" s="2" customFormat="1" ht="27" customHeight="1" x14ac:dyDescent="0.3">
      <c r="D766" s="23"/>
      <c r="AF766" s="34"/>
      <c r="AG766" s="34"/>
    </row>
    <row r="767" spans="4:33" s="2" customFormat="1" ht="27" customHeight="1" x14ac:dyDescent="0.3">
      <c r="D767" s="23"/>
      <c r="AF767" s="34"/>
      <c r="AG767" s="34"/>
    </row>
    <row r="768" spans="4:33" s="2" customFormat="1" ht="27" customHeight="1" x14ac:dyDescent="0.3">
      <c r="D768" s="23"/>
      <c r="AF768" s="34"/>
      <c r="AG768" s="34"/>
    </row>
    <row r="769" spans="4:33" s="2" customFormat="1" ht="27" customHeight="1" x14ac:dyDescent="0.3">
      <c r="D769" s="23"/>
      <c r="AF769" s="34"/>
      <c r="AG769" s="34"/>
    </row>
    <row r="770" spans="4:33" s="2" customFormat="1" ht="27" customHeight="1" x14ac:dyDescent="0.3">
      <c r="D770" s="23"/>
      <c r="AF770" s="34"/>
      <c r="AG770" s="34"/>
    </row>
    <row r="771" spans="4:33" s="2" customFormat="1" ht="27" customHeight="1" x14ac:dyDescent="0.3">
      <c r="D771" s="23"/>
      <c r="AF771" s="34"/>
      <c r="AG771" s="34"/>
    </row>
    <row r="772" spans="4:33" s="2" customFormat="1" ht="27" customHeight="1" x14ac:dyDescent="0.3">
      <c r="D772" s="23"/>
      <c r="AF772" s="34"/>
      <c r="AG772" s="34"/>
    </row>
    <row r="773" spans="4:33" s="2" customFormat="1" ht="27" customHeight="1" x14ac:dyDescent="0.3">
      <c r="D773" s="23"/>
      <c r="AF773" s="34"/>
      <c r="AG773" s="34"/>
    </row>
    <row r="774" spans="4:33" s="2" customFormat="1" ht="27" customHeight="1" x14ac:dyDescent="0.3">
      <c r="D774" s="23"/>
      <c r="AF774" s="34"/>
      <c r="AG774" s="34"/>
    </row>
    <row r="775" spans="4:33" s="2" customFormat="1" ht="27" customHeight="1" x14ac:dyDescent="0.3">
      <c r="D775" s="23"/>
      <c r="AF775" s="34"/>
      <c r="AG775" s="34"/>
    </row>
    <row r="776" spans="4:33" s="2" customFormat="1" ht="27" customHeight="1" x14ac:dyDescent="0.3">
      <c r="D776" s="23"/>
      <c r="AF776" s="34"/>
      <c r="AG776" s="34"/>
    </row>
    <row r="777" spans="4:33" s="2" customFormat="1" ht="27" customHeight="1" x14ac:dyDescent="0.3">
      <c r="D777" s="23"/>
      <c r="AF777" s="34"/>
      <c r="AG777" s="34"/>
    </row>
    <row r="778" spans="4:33" s="2" customFormat="1" ht="27" customHeight="1" x14ac:dyDescent="0.3">
      <c r="D778" s="23"/>
      <c r="AF778" s="34"/>
      <c r="AG778" s="34"/>
    </row>
    <row r="779" spans="4:33" s="2" customFormat="1" ht="27" customHeight="1" x14ac:dyDescent="0.3">
      <c r="D779" s="23"/>
      <c r="AF779" s="34"/>
      <c r="AG779" s="34"/>
    </row>
    <row r="780" spans="4:33" s="2" customFormat="1" ht="27" customHeight="1" x14ac:dyDescent="0.3">
      <c r="D780" s="23"/>
      <c r="AF780" s="34"/>
      <c r="AG780" s="34"/>
    </row>
    <row r="781" spans="4:33" s="2" customFormat="1" ht="27" customHeight="1" x14ac:dyDescent="0.3">
      <c r="D781" s="23"/>
      <c r="AF781" s="34"/>
      <c r="AG781" s="34"/>
    </row>
    <row r="782" spans="4:33" s="2" customFormat="1" ht="27" customHeight="1" x14ac:dyDescent="0.3">
      <c r="D782" s="23"/>
      <c r="AF782" s="34"/>
      <c r="AG782" s="34"/>
    </row>
    <row r="783" spans="4:33" s="2" customFormat="1" ht="27" customHeight="1" x14ac:dyDescent="0.3">
      <c r="D783" s="23"/>
      <c r="AF783" s="34"/>
      <c r="AG783" s="34"/>
    </row>
    <row r="784" spans="4:33" s="2" customFormat="1" ht="27" customHeight="1" x14ac:dyDescent="0.3">
      <c r="D784" s="23"/>
      <c r="AF784" s="34"/>
      <c r="AG784" s="34"/>
    </row>
    <row r="785" spans="4:33" s="2" customFormat="1" ht="27" customHeight="1" x14ac:dyDescent="0.3">
      <c r="D785" s="23"/>
      <c r="AF785" s="34"/>
      <c r="AG785" s="34"/>
    </row>
    <row r="786" spans="4:33" s="2" customFormat="1" ht="27" customHeight="1" x14ac:dyDescent="0.3">
      <c r="D786" s="23"/>
      <c r="AF786" s="34"/>
      <c r="AG786" s="34"/>
    </row>
    <row r="787" spans="4:33" s="2" customFormat="1" ht="27" customHeight="1" x14ac:dyDescent="0.3">
      <c r="D787" s="23"/>
      <c r="AF787" s="34"/>
      <c r="AG787" s="34"/>
    </row>
    <row r="788" spans="4:33" s="2" customFormat="1" ht="27" customHeight="1" x14ac:dyDescent="0.3">
      <c r="D788" s="23"/>
      <c r="AF788" s="34"/>
      <c r="AG788" s="34"/>
    </row>
    <row r="789" spans="4:33" s="2" customFormat="1" ht="27" customHeight="1" x14ac:dyDescent="0.3">
      <c r="D789" s="23"/>
      <c r="AF789" s="34"/>
      <c r="AG789" s="34"/>
    </row>
    <row r="790" spans="4:33" s="2" customFormat="1" ht="27" customHeight="1" x14ac:dyDescent="0.3">
      <c r="D790" s="23"/>
      <c r="AF790" s="34"/>
      <c r="AG790" s="34"/>
    </row>
    <row r="791" spans="4:33" s="2" customFormat="1" ht="27" customHeight="1" x14ac:dyDescent="0.3">
      <c r="D791" s="23"/>
      <c r="AF791" s="34"/>
      <c r="AG791" s="34"/>
    </row>
    <row r="792" spans="4:33" s="2" customFormat="1" ht="27" customHeight="1" x14ac:dyDescent="0.3">
      <c r="D792" s="23"/>
      <c r="AF792" s="34"/>
      <c r="AG792" s="34"/>
    </row>
    <row r="793" spans="4:33" s="2" customFormat="1" ht="27" customHeight="1" x14ac:dyDescent="0.3">
      <c r="D793" s="23"/>
      <c r="AF793" s="34"/>
      <c r="AG793" s="34"/>
    </row>
    <row r="794" spans="4:33" s="2" customFormat="1" ht="27" customHeight="1" x14ac:dyDescent="0.3">
      <c r="D794" s="23"/>
      <c r="AF794" s="34"/>
      <c r="AG794" s="34"/>
    </row>
    <row r="795" spans="4:33" s="2" customFormat="1" ht="27" customHeight="1" x14ac:dyDescent="0.3">
      <c r="D795" s="23"/>
      <c r="AF795" s="34"/>
      <c r="AG795" s="34"/>
    </row>
    <row r="796" spans="4:33" s="2" customFormat="1" ht="27" customHeight="1" x14ac:dyDescent="0.3">
      <c r="D796" s="23"/>
      <c r="AF796" s="34"/>
      <c r="AG796" s="34"/>
    </row>
    <row r="797" spans="4:33" s="2" customFormat="1" ht="27" customHeight="1" x14ac:dyDescent="0.3">
      <c r="D797" s="23"/>
      <c r="AF797" s="34"/>
      <c r="AG797" s="34"/>
    </row>
    <row r="798" spans="4:33" s="2" customFormat="1" ht="27" customHeight="1" x14ac:dyDescent="0.3">
      <c r="D798" s="23"/>
      <c r="AF798" s="34"/>
      <c r="AG798" s="34"/>
    </row>
    <row r="799" spans="4:33" s="2" customFormat="1" ht="27" customHeight="1" x14ac:dyDescent="0.3">
      <c r="D799" s="23"/>
      <c r="AF799" s="34"/>
      <c r="AG799" s="34"/>
    </row>
    <row r="800" spans="4:33" s="2" customFormat="1" ht="27" customHeight="1" x14ac:dyDescent="0.3">
      <c r="D800" s="23"/>
      <c r="AF800" s="34"/>
      <c r="AG800" s="34"/>
    </row>
    <row r="801" spans="4:33" s="2" customFormat="1" ht="27" customHeight="1" x14ac:dyDescent="0.3">
      <c r="D801" s="23"/>
      <c r="AF801" s="34"/>
      <c r="AG801" s="34"/>
    </row>
    <row r="802" spans="4:33" s="2" customFormat="1" ht="27" customHeight="1" x14ac:dyDescent="0.3">
      <c r="D802" s="23"/>
      <c r="AF802" s="34"/>
      <c r="AG802" s="34"/>
    </row>
    <row r="803" spans="4:33" s="2" customFormat="1" ht="27" customHeight="1" x14ac:dyDescent="0.3">
      <c r="D803" s="23"/>
      <c r="AF803" s="34"/>
      <c r="AG803" s="34"/>
    </row>
    <row r="804" spans="4:33" s="2" customFormat="1" ht="27" customHeight="1" x14ac:dyDescent="0.3">
      <c r="D804" s="23"/>
      <c r="AF804" s="34"/>
      <c r="AG804" s="34"/>
    </row>
    <row r="805" spans="4:33" s="2" customFormat="1" ht="27" customHeight="1" x14ac:dyDescent="0.3">
      <c r="D805" s="23"/>
      <c r="AF805" s="34"/>
      <c r="AG805" s="34"/>
    </row>
    <row r="806" spans="4:33" s="2" customFormat="1" ht="27" customHeight="1" x14ac:dyDescent="0.3">
      <c r="D806" s="23"/>
      <c r="AF806" s="34"/>
      <c r="AG806" s="34"/>
    </row>
    <row r="807" spans="4:33" s="2" customFormat="1" ht="27" customHeight="1" x14ac:dyDescent="0.3">
      <c r="D807" s="23"/>
      <c r="AF807" s="34"/>
      <c r="AG807" s="34"/>
    </row>
    <row r="808" spans="4:33" s="2" customFormat="1" ht="27" customHeight="1" x14ac:dyDescent="0.3">
      <c r="D808" s="23"/>
      <c r="AF808" s="34"/>
      <c r="AG808" s="34"/>
    </row>
    <row r="809" spans="4:33" s="2" customFormat="1" ht="27" customHeight="1" x14ac:dyDescent="0.3">
      <c r="D809" s="23"/>
      <c r="AF809" s="34"/>
      <c r="AG809" s="34"/>
    </row>
    <row r="810" spans="4:33" s="2" customFormat="1" ht="27" customHeight="1" x14ac:dyDescent="0.3">
      <c r="D810" s="23"/>
      <c r="AF810" s="34"/>
      <c r="AG810" s="34"/>
    </row>
    <row r="811" spans="4:33" s="2" customFormat="1" ht="27" customHeight="1" x14ac:dyDescent="0.3">
      <c r="D811" s="23"/>
      <c r="AF811" s="34"/>
      <c r="AG811" s="34"/>
    </row>
    <row r="812" spans="4:33" s="2" customFormat="1" ht="27" customHeight="1" x14ac:dyDescent="0.3">
      <c r="D812" s="23"/>
      <c r="AF812" s="34"/>
      <c r="AG812" s="34"/>
    </row>
    <row r="813" spans="4:33" s="2" customFormat="1" ht="27" customHeight="1" x14ac:dyDescent="0.3">
      <c r="D813" s="23"/>
      <c r="AF813" s="34"/>
      <c r="AG813" s="34"/>
    </row>
    <row r="814" spans="4:33" s="2" customFormat="1" ht="27" customHeight="1" x14ac:dyDescent="0.3">
      <c r="D814" s="23"/>
      <c r="AF814" s="34"/>
      <c r="AG814" s="34"/>
    </row>
    <row r="815" spans="4:33" s="2" customFormat="1" ht="27" customHeight="1" x14ac:dyDescent="0.3">
      <c r="D815" s="23"/>
      <c r="AF815" s="34"/>
      <c r="AG815" s="34"/>
    </row>
    <row r="816" spans="4:33" s="2" customFormat="1" ht="27" customHeight="1" x14ac:dyDescent="0.3">
      <c r="D816" s="23"/>
      <c r="AF816" s="34"/>
      <c r="AG816" s="34"/>
    </row>
    <row r="817" spans="4:33" s="2" customFormat="1" ht="27" customHeight="1" x14ac:dyDescent="0.3">
      <c r="D817" s="23"/>
      <c r="AF817" s="34"/>
      <c r="AG817" s="34"/>
    </row>
    <row r="818" spans="4:33" s="2" customFormat="1" ht="27" customHeight="1" x14ac:dyDescent="0.3">
      <c r="D818" s="23"/>
      <c r="AF818" s="34"/>
      <c r="AG818" s="34"/>
    </row>
    <row r="819" spans="4:33" s="2" customFormat="1" ht="27" customHeight="1" x14ac:dyDescent="0.3">
      <c r="D819" s="23"/>
      <c r="AF819" s="34"/>
      <c r="AG819" s="34"/>
    </row>
    <row r="820" spans="4:33" s="2" customFormat="1" ht="27" customHeight="1" x14ac:dyDescent="0.3">
      <c r="D820" s="23"/>
      <c r="AF820" s="34"/>
      <c r="AG820" s="34"/>
    </row>
    <row r="821" spans="4:33" s="2" customFormat="1" ht="27" customHeight="1" x14ac:dyDescent="0.3">
      <c r="D821" s="23"/>
      <c r="AF821" s="34"/>
      <c r="AG821" s="34"/>
    </row>
    <row r="822" spans="4:33" s="2" customFormat="1" ht="27" customHeight="1" x14ac:dyDescent="0.3">
      <c r="D822" s="23"/>
      <c r="AF822" s="34"/>
      <c r="AG822" s="34"/>
    </row>
    <row r="823" spans="4:33" s="2" customFormat="1" ht="27" customHeight="1" x14ac:dyDescent="0.3">
      <c r="D823" s="23"/>
      <c r="AF823" s="34"/>
      <c r="AG823" s="34"/>
    </row>
    <row r="824" spans="4:33" s="2" customFormat="1" ht="27" customHeight="1" x14ac:dyDescent="0.3">
      <c r="D824" s="23"/>
      <c r="AF824" s="34"/>
      <c r="AG824" s="34"/>
    </row>
    <row r="825" spans="4:33" s="2" customFormat="1" ht="27" customHeight="1" x14ac:dyDescent="0.3">
      <c r="D825" s="23"/>
      <c r="AF825" s="34"/>
      <c r="AG825" s="34"/>
    </row>
    <row r="826" spans="4:33" s="2" customFormat="1" ht="27" customHeight="1" x14ac:dyDescent="0.3">
      <c r="D826" s="23"/>
      <c r="AF826" s="34"/>
      <c r="AG826" s="34"/>
    </row>
    <row r="827" spans="4:33" s="2" customFormat="1" ht="27" customHeight="1" x14ac:dyDescent="0.3">
      <c r="D827" s="23"/>
      <c r="AF827" s="34"/>
      <c r="AG827" s="34"/>
    </row>
    <row r="828" spans="4:33" s="2" customFormat="1" ht="27" customHeight="1" x14ac:dyDescent="0.3">
      <c r="D828" s="23"/>
      <c r="AF828" s="34"/>
      <c r="AG828" s="34"/>
    </row>
    <row r="829" spans="4:33" s="2" customFormat="1" ht="27" customHeight="1" x14ac:dyDescent="0.3">
      <c r="D829" s="23"/>
      <c r="AF829" s="34"/>
      <c r="AG829" s="34"/>
    </row>
    <row r="830" spans="4:33" s="2" customFormat="1" ht="27" customHeight="1" x14ac:dyDescent="0.3">
      <c r="D830" s="23"/>
      <c r="AF830" s="34"/>
      <c r="AG830" s="34"/>
    </row>
    <row r="831" spans="4:33" s="2" customFormat="1" ht="27" customHeight="1" x14ac:dyDescent="0.3">
      <c r="D831" s="23"/>
      <c r="AF831" s="34"/>
      <c r="AG831" s="34"/>
    </row>
    <row r="832" spans="4:33" s="2" customFormat="1" ht="27" customHeight="1" x14ac:dyDescent="0.3">
      <c r="D832" s="23"/>
      <c r="AF832" s="34"/>
      <c r="AG832" s="34"/>
    </row>
    <row r="833" spans="4:33" s="2" customFormat="1" ht="27" customHeight="1" x14ac:dyDescent="0.3">
      <c r="D833" s="23"/>
      <c r="AF833" s="34"/>
      <c r="AG833" s="34"/>
    </row>
    <row r="834" spans="4:33" s="2" customFormat="1" ht="27" customHeight="1" x14ac:dyDescent="0.3">
      <c r="D834" s="23"/>
      <c r="AF834" s="34"/>
      <c r="AG834" s="34"/>
    </row>
    <row r="835" spans="4:33" s="2" customFormat="1" ht="27" customHeight="1" x14ac:dyDescent="0.3">
      <c r="D835" s="23"/>
      <c r="AF835" s="34"/>
      <c r="AG835" s="34"/>
    </row>
    <row r="836" spans="4:33" s="2" customFormat="1" ht="27" customHeight="1" x14ac:dyDescent="0.3">
      <c r="D836" s="23"/>
      <c r="AF836" s="34"/>
      <c r="AG836" s="34"/>
    </row>
    <row r="837" spans="4:33" s="2" customFormat="1" ht="27" customHeight="1" x14ac:dyDescent="0.3">
      <c r="D837" s="23"/>
      <c r="AF837" s="34"/>
      <c r="AG837" s="34"/>
    </row>
    <row r="838" spans="4:33" s="2" customFormat="1" ht="27" customHeight="1" x14ac:dyDescent="0.3">
      <c r="D838" s="23"/>
      <c r="AF838" s="34"/>
      <c r="AG838" s="34"/>
    </row>
    <row r="839" spans="4:33" s="2" customFormat="1" ht="27" customHeight="1" x14ac:dyDescent="0.3">
      <c r="D839" s="23"/>
      <c r="AF839" s="34"/>
      <c r="AG839" s="34"/>
    </row>
    <row r="840" spans="4:33" s="2" customFormat="1" ht="27" customHeight="1" x14ac:dyDescent="0.3">
      <c r="D840" s="23"/>
      <c r="AF840" s="34"/>
      <c r="AG840" s="34"/>
    </row>
    <row r="841" spans="4:33" s="2" customFormat="1" ht="27" customHeight="1" x14ac:dyDescent="0.3">
      <c r="D841" s="23"/>
      <c r="AF841" s="34"/>
      <c r="AG841" s="34"/>
    </row>
    <row r="842" spans="4:33" s="2" customFormat="1" ht="27" customHeight="1" x14ac:dyDescent="0.3">
      <c r="D842" s="23"/>
      <c r="AF842" s="34"/>
      <c r="AG842" s="34"/>
    </row>
    <row r="843" spans="4:33" s="2" customFormat="1" ht="27" customHeight="1" x14ac:dyDescent="0.3">
      <c r="D843" s="23"/>
      <c r="AF843" s="34"/>
      <c r="AG843" s="34"/>
    </row>
    <row r="844" spans="4:33" s="2" customFormat="1" ht="27" customHeight="1" x14ac:dyDescent="0.3">
      <c r="D844" s="23"/>
      <c r="AF844" s="34"/>
      <c r="AG844" s="34"/>
    </row>
    <row r="845" spans="4:33" s="2" customFormat="1" ht="27" customHeight="1" x14ac:dyDescent="0.3">
      <c r="D845" s="23"/>
      <c r="AF845" s="34"/>
      <c r="AG845" s="34"/>
    </row>
    <row r="846" spans="4:33" s="2" customFormat="1" ht="27" customHeight="1" x14ac:dyDescent="0.3">
      <c r="D846" s="23"/>
      <c r="AF846" s="34"/>
      <c r="AG846" s="34"/>
    </row>
    <row r="847" spans="4:33" s="2" customFormat="1" ht="27" customHeight="1" x14ac:dyDescent="0.3">
      <c r="D847" s="23"/>
      <c r="AF847" s="34"/>
      <c r="AG847" s="34"/>
    </row>
    <row r="848" spans="4:33" s="2" customFormat="1" ht="27" customHeight="1" x14ac:dyDescent="0.3">
      <c r="D848" s="23"/>
      <c r="AF848" s="34"/>
      <c r="AG848" s="34"/>
    </row>
    <row r="849" spans="4:33" s="2" customFormat="1" ht="27" customHeight="1" x14ac:dyDescent="0.3">
      <c r="D849" s="23"/>
      <c r="AF849" s="34"/>
      <c r="AG849" s="34"/>
    </row>
    <row r="850" spans="4:33" s="2" customFormat="1" ht="27" customHeight="1" x14ac:dyDescent="0.3">
      <c r="D850" s="23"/>
      <c r="AF850" s="34"/>
      <c r="AG850" s="34"/>
    </row>
    <row r="851" spans="4:33" s="2" customFormat="1" ht="27" customHeight="1" x14ac:dyDescent="0.3">
      <c r="D851" s="23"/>
      <c r="AF851" s="34"/>
      <c r="AG851" s="34"/>
    </row>
    <row r="852" spans="4:33" s="2" customFormat="1" ht="27" customHeight="1" x14ac:dyDescent="0.3">
      <c r="D852" s="23"/>
      <c r="AF852" s="34"/>
      <c r="AG852" s="34"/>
    </row>
    <row r="853" spans="4:33" s="2" customFormat="1" ht="27" customHeight="1" x14ac:dyDescent="0.3">
      <c r="D853" s="23"/>
      <c r="AF853" s="34"/>
      <c r="AG853" s="34"/>
    </row>
    <row r="854" spans="4:33" s="2" customFormat="1" ht="27" customHeight="1" x14ac:dyDescent="0.3">
      <c r="D854" s="23"/>
      <c r="AF854" s="34"/>
      <c r="AG854" s="34"/>
    </row>
    <row r="855" spans="4:33" s="2" customFormat="1" ht="27" customHeight="1" x14ac:dyDescent="0.3">
      <c r="D855" s="23"/>
      <c r="AF855" s="34"/>
      <c r="AG855" s="34"/>
    </row>
    <row r="856" spans="4:33" s="2" customFormat="1" ht="27" customHeight="1" x14ac:dyDescent="0.3">
      <c r="D856" s="23"/>
      <c r="AF856" s="34"/>
      <c r="AG856" s="34"/>
    </row>
    <row r="857" spans="4:33" s="2" customFormat="1" ht="27" customHeight="1" x14ac:dyDescent="0.3">
      <c r="D857" s="23"/>
      <c r="AF857" s="34"/>
      <c r="AG857" s="34"/>
    </row>
    <row r="858" spans="4:33" s="2" customFormat="1" ht="27" customHeight="1" x14ac:dyDescent="0.3">
      <c r="D858" s="23"/>
      <c r="AF858" s="34"/>
      <c r="AG858" s="34"/>
    </row>
    <row r="859" spans="4:33" s="2" customFormat="1" ht="27" customHeight="1" x14ac:dyDescent="0.3">
      <c r="D859" s="23"/>
      <c r="AF859" s="34"/>
      <c r="AG859" s="34"/>
    </row>
    <row r="860" spans="4:33" s="2" customFormat="1" ht="27" customHeight="1" x14ac:dyDescent="0.3">
      <c r="D860" s="23"/>
      <c r="AF860" s="34"/>
      <c r="AG860" s="34"/>
    </row>
    <row r="861" spans="4:33" s="2" customFormat="1" ht="27" customHeight="1" x14ac:dyDescent="0.3">
      <c r="D861" s="23"/>
      <c r="AF861" s="34"/>
      <c r="AG861" s="34"/>
    </row>
    <row r="862" spans="4:33" s="2" customFormat="1" ht="27" customHeight="1" x14ac:dyDescent="0.3">
      <c r="D862" s="23"/>
      <c r="AF862" s="34"/>
      <c r="AG862" s="34"/>
    </row>
    <row r="863" spans="4:33" s="2" customFormat="1" ht="27" customHeight="1" x14ac:dyDescent="0.3">
      <c r="D863" s="23"/>
      <c r="AF863" s="34"/>
      <c r="AG863" s="34"/>
    </row>
    <row r="864" spans="4:33" s="2" customFormat="1" ht="27" customHeight="1" x14ac:dyDescent="0.3">
      <c r="D864" s="23"/>
      <c r="AF864" s="34"/>
      <c r="AG864" s="34"/>
    </row>
    <row r="865" spans="4:33" s="2" customFormat="1" ht="27" customHeight="1" x14ac:dyDescent="0.3">
      <c r="D865" s="23"/>
      <c r="AF865" s="34"/>
      <c r="AG865" s="34"/>
    </row>
    <row r="866" spans="4:33" s="2" customFormat="1" ht="27" customHeight="1" x14ac:dyDescent="0.3">
      <c r="D866" s="23"/>
      <c r="AF866" s="34"/>
      <c r="AG866" s="34"/>
    </row>
    <row r="867" spans="4:33" s="2" customFormat="1" ht="27" customHeight="1" x14ac:dyDescent="0.3">
      <c r="D867" s="23"/>
      <c r="AF867" s="34"/>
      <c r="AG867" s="34"/>
    </row>
    <row r="868" spans="4:33" s="2" customFormat="1" ht="27" customHeight="1" x14ac:dyDescent="0.3">
      <c r="D868" s="23"/>
      <c r="AF868" s="34"/>
      <c r="AG868" s="34"/>
    </row>
    <row r="869" spans="4:33" s="2" customFormat="1" ht="27" customHeight="1" x14ac:dyDescent="0.3">
      <c r="D869" s="23"/>
      <c r="AF869" s="34"/>
      <c r="AG869" s="34"/>
    </row>
    <row r="870" spans="4:33" s="2" customFormat="1" ht="27" customHeight="1" x14ac:dyDescent="0.3">
      <c r="D870" s="23"/>
      <c r="AF870" s="34"/>
      <c r="AG870" s="34"/>
    </row>
    <row r="871" spans="4:33" s="2" customFormat="1" ht="27" customHeight="1" x14ac:dyDescent="0.3">
      <c r="D871" s="23"/>
      <c r="AF871" s="34"/>
      <c r="AG871" s="34"/>
    </row>
    <row r="872" spans="4:33" s="2" customFormat="1" ht="27" customHeight="1" x14ac:dyDescent="0.3">
      <c r="D872" s="23"/>
      <c r="AF872" s="34"/>
      <c r="AG872" s="34"/>
    </row>
    <row r="873" spans="4:33" s="2" customFormat="1" ht="27" customHeight="1" x14ac:dyDescent="0.3">
      <c r="D873" s="23"/>
      <c r="AF873" s="34"/>
      <c r="AG873" s="34"/>
    </row>
    <row r="874" spans="4:33" s="2" customFormat="1" ht="27" customHeight="1" x14ac:dyDescent="0.3">
      <c r="D874" s="23"/>
      <c r="AF874" s="34"/>
      <c r="AG874" s="34"/>
    </row>
    <row r="875" spans="4:33" s="2" customFormat="1" ht="27" customHeight="1" x14ac:dyDescent="0.3">
      <c r="D875" s="23"/>
      <c r="AF875" s="34"/>
      <c r="AG875" s="34"/>
    </row>
    <row r="876" spans="4:33" s="2" customFormat="1" ht="27" customHeight="1" x14ac:dyDescent="0.3">
      <c r="D876" s="23"/>
      <c r="AF876" s="34"/>
      <c r="AG876" s="34"/>
    </row>
    <row r="877" spans="4:33" s="2" customFormat="1" ht="27" customHeight="1" x14ac:dyDescent="0.3">
      <c r="D877" s="23"/>
      <c r="AF877" s="34"/>
      <c r="AG877" s="34"/>
    </row>
    <row r="878" spans="4:33" s="2" customFormat="1" ht="27" customHeight="1" x14ac:dyDescent="0.3">
      <c r="D878" s="23"/>
      <c r="AF878" s="34"/>
      <c r="AG878" s="34"/>
    </row>
    <row r="879" spans="4:33" s="2" customFormat="1" ht="27" customHeight="1" x14ac:dyDescent="0.3">
      <c r="D879" s="23"/>
      <c r="AF879" s="34"/>
      <c r="AG879" s="34"/>
    </row>
    <row r="880" spans="4:33" s="2" customFormat="1" ht="27" customHeight="1" x14ac:dyDescent="0.3">
      <c r="D880" s="23"/>
      <c r="AF880" s="34"/>
      <c r="AG880" s="34"/>
    </row>
    <row r="881" spans="4:33" s="2" customFormat="1" ht="27" customHeight="1" x14ac:dyDescent="0.3">
      <c r="D881" s="23"/>
      <c r="AF881" s="34"/>
      <c r="AG881" s="34"/>
    </row>
    <row r="882" spans="4:33" s="2" customFormat="1" ht="27" customHeight="1" x14ac:dyDescent="0.3">
      <c r="D882" s="23"/>
      <c r="AF882" s="34"/>
      <c r="AG882" s="34"/>
    </row>
    <row r="883" spans="4:33" s="2" customFormat="1" ht="27" customHeight="1" x14ac:dyDescent="0.3">
      <c r="D883" s="23"/>
      <c r="AF883" s="34"/>
      <c r="AG883" s="34"/>
    </row>
    <row r="884" spans="4:33" s="2" customFormat="1" ht="27" customHeight="1" x14ac:dyDescent="0.3">
      <c r="D884" s="23"/>
      <c r="AF884" s="34"/>
      <c r="AG884" s="34"/>
    </row>
    <row r="885" spans="4:33" s="2" customFormat="1" ht="27" customHeight="1" x14ac:dyDescent="0.3">
      <c r="D885" s="23"/>
      <c r="AF885" s="34"/>
      <c r="AG885" s="34"/>
    </row>
    <row r="886" spans="4:33" s="2" customFormat="1" ht="27" customHeight="1" x14ac:dyDescent="0.3">
      <c r="D886" s="23"/>
      <c r="AF886" s="34"/>
      <c r="AG886" s="34"/>
    </row>
    <row r="887" spans="4:33" s="2" customFormat="1" ht="27" customHeight="1" x14ac:dyDescent="0.3">
      <c r="D887" s="23"/>
      <c r="AF887" s="34"/>
      <c r="AG887" s="34"/>
    </row>
    <row r="888" spans="4:33" s="2" customFormat="1" ht="27" customHeight="1" x14ac:dyDescent="0.3">
      <c r="D888" s="23"/>
      <c r="AF888" s="34"/>
      <c r="AG888" s="34"/>
    </row>
    <row r="889" spans="4:33" s="2" customFormat="1" ht="27" customHeight="1" x14ac:dyDescent="0.3">
      <c r="D889" s="23"/>
      <c r="AF889" s="34"/>
      <c r="AG889" s="34"/>
    </row>
    <row r="890" spans="4:33" s="2" customFormat="1" ht="27" customHeight="1" x14ac:dyDescent="0.3">
      <c r="D890" s="23"/>
      <c r="AF890" s="34"/>
      <c r="AG890" s="34"/>
    </row>
    <row r="891" spans="4:33" s="2" customFormat="1" ht="27" customHeight="1" x14ac:dyDescent="0.3">
      <c r="D891" s="23"/>
      <c r="AF891" s="34"/>
      <c r="AG891" s="34"/>
    </row>
    <row r="892" spans="4:33" s="2" customFormat="1" ht="27" customHeight="1" x14ac:dyDescent="0.3">
      <c r="D892" s="23"/>
      <c r="AF892" s="34"/>
      <c r="AG892" s="34"/>
    </row>
    <row r="893" spans="4:33" s="2" customFormat="1" ht="27" customHeight="1" x14ac:dyDescent="0.3">
      <c r="D893" s="23"/>
      <c r="AF893" s="34"/>
      <c r="AG893" s="34"/>
    </row>
    <row r="894" spans="4:33" s="2" customFormat="1" ht="27" customHeight="1" x14ac:dyDescent="0.3">
      <c r="D894" s="23"/>
      <c r="AF894" s="34"/>
      <c r="AG894" s="34"/>
    </row>
    <row r="895" spans="4:33" s="2" customFormat="1" ht="27" customHeight="1" x14ac:dyDescent="0.3">
      <c r="D895" s="23"/>
      <c r="AF895" s="34"/>
      <c r="AG895" s="34"/>
    </row>
    <row r="896" spans="4:33" s="2" customFormat="1" ht="27" customHeight="1" x14ac:dyDescent="0.3">
      <c r="D896" s="23"/>
      <c r="AF896" s="34"/>
      <c r="AG896" s="34"/>
    </row>
    <row r="897" spans="4:33" s="2" customFormat="1" ht="27" customHeight="1" x14ac:dyDescent="0.3">
      <c r="D897" s="23"/>
      <c r="AF897" s="34"/>
      <c r="AG897" s="34"/>
    </row>
    <row r="898" spans="4:33" s="2" customFormat="1" ht="27" customHeight="1" x14ac:dyDescent="0.3">
      <c r="D898" s="23"/>
      <c r="AF898" s="34"/>
      <c r="AG898" s="34"/>
    </row>
    <row r="899" spans="4:33" s="2" customFormat="1" ht="27" customHeight="1" x14ac:dyDescent="0.3">
      <c r="D899" s="23"/>
      <c r="AF899" s="34"/>
      <c r="AG899" s="34"/>
    </row>
    <row r="900" spans="4:33" s="2" customFormat="1" ht="27" customHeight="1" x14ac:dyDescent="0.3">
      <c r="D900" s="23"/>
      <c r="AF900" s="34"/>
      <c r="AG900" s="34"/>
    </row>
    <row r="901" spans="4:33" s="2" customFormat="1" ht="27" customHeight="1" x14ac:dyDescent="0.3">
      <c r="D901" s="23"/>
      <c r="AF901" s="34"/>
      <c r="AG901" s="34"/>
    </row>
    <row r="902" spans="4:33" s="2" customFormat="1" ht="27" customHeight="1" x14ac:dyDescent="0.3">
      <c r="D902" s="23"/>
      <c r="AF902" s="34"/>
      <c r="AG902" s="34"/>
    </row>
    <row r="903" spans="4:33" s="2" customFormat="1" ht="27" customHeight="1" x14ac:dyDescent="0.3">
      <c r="D903" s="23"/>
      <c r="AF903" s="34"/>
      <c r="AG903" s="34"/>
    </row>
    <row r="904" spans="4:33" s="2" customFormat="1" ht="27" customHeight="1" x14ac:dyDescent="0.3">
      <c r="D904" s="23"/>
      <c r="AF904" s="34"/>
      <c r="AG904" s="34"/>
    </row>
    <row r="905" spans="4:33" s="2" customFormat="1" ht="27" customHeight="1" x14ac:dyDescent="0.3">
      <c r="D905" s="23"/>
      <c r="AF905" s="34"/>
      <c r="AG905" s="34"/>
    </row>
    <row r="906" spans="4:33" s="2" customFormat="1" ht="27" customHeight="1" x14ac:dyDescent="0.3">
      <c r="D906" s="23"/>
      <c r="AF906" s="34"/>
      <c r="AG906" s="34"/>
    </row>
    <row r="907" spans="4:33" s="2" customFormat="1" ht="27" customHeight="1" x14ac:dyDescent="0.3">
      <c r="D907" s="23"/>
      <c r="AF907" s="34"/>
      <c r="AG907" s="34"/>
    </row>
    <row r="908" spans="4:33" s="2" customFormat="1" ht="27" customHeight="1" x14ac:dyDescent="0.3">
      <c r="D908" s="23"/>
      <c r="AF908" s="34"/>
      <c r="AG908" s="34"/>
    </row>
    <row r="909" spans="4:33" s="2" customFormat="1" ht="27" customHeight="1" x14ac:dyDescent="0.3">
      <c r="D909" s="23"/>
      <c r="AF909" s="34"/>
      <c r="AG909" s="34"/>
    </row>
    <row r="910" spans="4:33" s="2" customFormat="1" ht="27" customHeight="1" x14ac:dyDescent="0.3">
      <c r="D910" s="23"/>
      <c r="AF910" s="34"/>
      <c r="AG910" s="34"/>
    </row>
    <row r="911" spans="4:33" s="2" customFormat="1" ht="27" customHeight="1" x14ac:dyDescent="0.3">
      <c r="D911" s="23"/>
      <c r="AF911" s="34"/>
      <c r="AG911" s="34"/>
    </row>
    <row r="912" spans="4:33" s="2" customFormat="1" ht="27" customHeight="1" x14ac:dyDescent="0.3">
      <c r="D912" s="23"/>
      <c r="AF912" s="34"/>
      <c r="AG912" s="34"/>
    </row>
    <row r="913" spans="4:33" s="2" customFormat="1" ht="27" customHeight="1" x14ac:dyDescent="0.3">
      <c r="D913" s="23"/>
      <c r="AF913" s="34"/>
      <c r="AG913" s="34"/>
    </row>
    <row r="914" spans="4:33" s="2" customFormat="1" ht="27" customHeight="1" x14ac:dyDescent="0.3">
      <c r="D914" s="23"/>
      <c r="AF914" s="34"/>
      <c r="AG914" s="34"/>
    </row>
    <row r="915" spans="4:33" s="2" customFormat="1" ht="27" customHeight="1" x14ac:dyDescent="0.3">
      <c r="D915" s="23"/>
      <c r="AF915" s="34"/>
      <c r="AG915" s="34"/>
    </row>
    <row r="916" spans="4:33" s="2" customFormat="1" ht="27" customHeight="1" x14ac:dyDescent="0.3">
      <c r="D916" s="23"/>
      <c r="AF916" s="34"/>
      <c r="AG916" s="34"/>
    </row>
    <row r="917" spans="4:33" s="2" customFormat="1" ht="27" customHeight="1" x14ac:dyDescent="0.3">
      <c r="D917" s="23"/>
      <c r="AF917" s="34"/>
      <c r="AG917" s="34"/>
    </row>
    <row r="918" spans="4:33" s="2" customFormat="1" ht="27" customHeight="1" x14ac:dyDescent="0.3">
      <c r="D918" s="23"/>
      <c r="AF918" s="34"/>
      <c r="AG918" s="34"/>
    </row>
    <row r="919" spans="4:33" s="2" customFormat="1" ht="27" customHeight="1" x14ac:dyDescent="0.3">
      <c r="D919" s="23"/>
      <c r="AF919" s="34"/>
      <c r="AG919" s="34"/>
    </row>
    <row r="920" spans="4:33" s="2" customFormat="1" ht="27" customHeight="1" x14ac:dyDescent="0.3">
      <c r="D920" s="23"/>
      <c r="AF920" s="34"/>
      <c r="AG920" s="34"/>
    </row>
    <row r="921" spans="4:33" s="2" customFormat="1" ht="27" customHeight="1" x14ac:dyDescent="0.3">
      <c r="D921" s="23"/>
      <c r="AF921" s="34"/>
      <c r="AG921" s="34"/>
    </row>
    <row r="922" spans="4:33" s="2" customFormat="1" ht="27" customHeight="1" x14ac:dyDescent="0.3">
      <c r="D922" s="23"/>
      <c r="AF922" s="34"/>
      <c r="AG922" s="34"/>
    </row>
    <row r="923" spans="4:33" s="2" customFormat="1" ht="27" customHeight="1" x14ac:dyDescent="0.3">
      <c r="D923" s="23"/>
      <c r="AF923" s="34"/>
      <c r="AG923" s="34"/>
    </row>
    <row r="924" spans="4:33" s="2" customFormat="1" ht="27" customHeight="1" x14ac:dyDescent="0.3">
      <c r="D924" s="23"/>
      <c r="AF924" s="34"/>
      <c r="AG924" s="34"/>
    </row>
    <row r="925" spans="4:33" s="2" customFormat="1" ht="27" customHeight="1" x14ac:dyDescent="0.3">
      <c r="D925" s="23"/>
      <c r="AF925" s="34"/>
      <c r="AG925" s="34"/>
    </row>
    <row r="926" spans="4:33" s="2" customFormat="1" ht="27" customHeight="1" x14ac:dyDescent="0.3">
      <c r="D926" s="23"/>
      <c r="AF926" s="34"/>
      <c r="AG926" s="34"/>
    </row>
    <row r="927" spans="4:33" s="2" customFormat="1" ht="27" customHeight="1" x14ac:dyDescent="0.3">
      <c r="D927" s="23"/>
      <c r="AF927" s="34"/>
      <c r="AG927" s="34"/>
    </row>
    <row r="928" spans="4:33" s="2" customFormat="1" ht="27" customHeight="1" x14ac:dyDescent="0.3">
      <c r="D928" s="23"/>
      <c r="AF928" s="34"/>
      <c r="AG928" s="34"/>
    </row>
    <row r="929" spans="4:33" s="2" customFormat="1" ht="27" customHeight="1" x14ac:dyDescent="0.3">
      <c r="D929" s="23"/>
      <c r="AF929" s="34"/>
      <c r="AG929" s="34"/>
    </row>
    <row r="930" spans="4:33" s="2" customFormat="1" ht="27" customHeight="1" x14ac:dyDescent="0.3">
      <c r="D930" s="23"/>
      <c r="AF930" s="34"/>
      <c r="AG930" s="34"/>
    </row>
    <row r="931" spans="4:33" s="2" customFormat="1" ht="27" customHeight="1" x14ac:dyDescent="0.3">
      <c r="D931" s="23"/>
      <c r="AF931" s="34"/>
      <c r="AG931" s="34"/>
    </row>
    <row r="932" spans="4:33" s="2" customFormat="1" ht="27" customHeight="1" x14ac:dyDescent="0.3">
      <c r="D932" s="23"/>
      <c r="AF932" s="34"/>
      <c r="AG932" s="34"/>
    </row>
    <row r="933" spans="4:33" s="2" customFormat="1" ht="27" customHeight="1" x14ac:dyDescent="0.3">
      <c r="D933" s="23"/>
      <c r="AF933" s="34"/>
      <c r="AG933" s="34"/>
    </row>
    <row r="934" spans="4:33" s="2" customFormat="1" ht="27" customHeight="1" x14ac:dyDescent="0.3">
      <c r="D934" s="23"/>
      <c r="AF934" s="34"/>
      <c r="AG934" s="34"/>
    </row>
    <row r="935" spans="4:33" s="2" customFormat="1" ht="27" customHeight="1" x14ac:dyDescent="0.3">
      <c r="D935" s="23"/>
      <c r="AF935" s="34"/>
      <c r="AG935" s="34"/>
    </row>
    <row r="936" spans="4:33" s="2" customFormat="1" ht="27" customHeight="1" x14ac:dyDescent="0.3">
      <c r="D936" s="23"/>
      <c r="AF936" s="34"/>
      <c r="AG936" s="34"/>
    </row>
    <row r="937" spans="4:33" s="2" customFormat="1" ht="27" customHeight="1" x14ac:dyDescent="0.3">
      <c r="D937" s="23"/>
      <c r="AF937" s="34"/>
      <c r="AG937" s="34"/>
    </row>
    <row r="938" spans="4:33" s="2" customFormat="1" ht="27" customHeight="1" x14ac:dyDescent="0.3">
      <c r="D938" s="23"/>
      <c r="AF938" s="34"/>
      <c r="AG938" s="34"/>
    </row>
    <row r="939" spans="4:33" s="2" customFormat="1" ht="27" customHeight="1" x14ac:dyDescent="0.3">
      <c r="D939" s="23"/>
      <c r="AF939" s="34"/>
      <c r="AG939" s="34"/>
    </row>
    <row r="940" spans="4:33" s="2" customFormat="1" ht="27" customHeight="1" x14ac:dyDescent="0.3">
      <c r="D940" s="23"/>
      <c r="AF940" s="34"/>
      <c r="AG940" s="34"/>
    </row>
    <row r="941" spans="4:33" s="2" customFormat="1" ht="27" customHeight="1" x14ac:dyDescent="0.3">
      <c r="D941" s="23"/>
      <c r="AF941" s="34"/>
      <c r="AG941" s="34"/>
    </row>
    <row r="942" spans="4:33" s="2" customFormat="1" ht="27" customHeight="1" x14ac:dyDescent="0.3">
      <c r="D942" s="23"/>
      <c r="AF942" s="34"/>
      <c r="AG942" s="34"/>
    </row>
    <row r="943" spans="4:33" s="2" customFormat="1" ht="27" customHeight="1" x14ac:dyDescent="0.3">
      <c r="D943" s="23"/>
      <c r="AF943" s="34"/>
      <c r="AG943" s="34"/>
    </row>
    <row r="944" spans="4:33" s="2" customFormat="1" ht="27" customHeight="1" x14ac:dyDescent="0.3">
      <c r="D944" s="23"/>
      <c r="AF944" s="34"/>
      <c r="AG944" s="34"/>
    </row>
    <row r="945" spans="4:33" s="2" customFormat="1" ht="27" customHeight="1" x14ac:dyDescent="0.3">
      <c r="D945" s="23"/>
      <c r="AF945" s="34"/>
      <c r="AG945" s="34"/>
    </row>
    <row r="946" spans="4:33" s="2" customFormat="1" ht="27" customHeight="1" x14ac:dyDescent="0.3">
      <c r="D946" s="23"/>
      <c r="AF946" s="34"/>
      <c r="AG946" s="34"/>
    </row>
    <row r="947" spans="4:33" s="2" customFormat="1" ht="27" customHeight="1" x14ac:dyDescent="0.3">
      <c r="D947" s="23"/>
      <c r="AF947" s="34"/>
      <c r="AG947" s="34"/>
    </row>
    <row r="948" spans="4:33" s="2" customFormat="1" ht="27" customHeight="1" x14ac:dyDescent="0.3">
      <c r="D948" s="23"/>
      <c r="AF948" s="34"/>
      <c r="AG948" s="34"/>
    </row>
    <row r="949" spans="4:33" s="2" customFormat="1" ht="27" customHeight="1" x14ac:dyDescent="0.3">
      <c r="D949" s="23"/>
      <c r="AF949" s="34"/>
      <c r="AG949" s="34"/>
    </row>
    <row r="950" spans="4:33" s="2" customFormat="1" ht="27" customHeight="1" x14ac:dyDescent="0.3">
      <c r="D950" s="23"/>
      <c r="AF950" s="34"/>
      <c r="AG950" s="34"/>
    </row>
    <row r="951" spans="4:33" s="2" customFormat="1" ht="27" customHeight="1" x14ac:dyDescent="0.3">
      <c r="D951" s="23"/>
      <c r="AF951" s="34"/>
      <c r="AG951" s="34"/>
    </row>
    <row r="952" spans="4:33" s="2" customFormat="1" ht="27" customHeight="1" x14ac:dyDescent="0.3">
      <c r="D952" s="23"/>
      <c r="AF952" s="34"/>
      <c r="AG952" s="34"/>
    </row>
    <row r="953" spans="4:33" s="2" customFormat="1" ht="27" customHeight="1" x14ac:dyDescent="0.3">
      <c r="D953" s="23"/>
      <c r="AF953" s="34"/>
      <c r="AG953" s="34"/>
    </row>
    <row r="954" spans="4:33" s="2" customFormat="1" ht="27" customHeight="1" x14ac:dyDescent="0.3">
      <c r="D954" s="23"/>
      <c r="AF954" s="34"/>
      <c r="AG954" s="34"/>
    </row>
    <row r="955" spans="4:33" s="2" customFormat="1" ht="27" customHeight="1" x14ac:dyDescent="0.3">
      <c r="D955" s="23"/>
      <c r="AF955" s="34"/>
      <c r="AG955" s="34"/>
    </row>
    <row r="956" spans="4:33" s="2" customFormat="1" ht="27" customHeight="1" x14ac:dyDescent="0.3">
      <c r="D956" s="23"/>
      <c r="AF956" s="34"/>
      <c r="AG956" s="34"/>
    </row>
    <row r="957" spans="4:33" s="2" customFormat="1" ht="27" customHeight="1" x14ac:dyDescent="0.3">
      <c r="D957" s="23"/>
      <c r="AF957" s="34"/>
      <c r="AG957" s="34"/>
    </row>
    <row r="958" spans="4:33" s="2" customFormat="1" ht="27" customHeight="1" x14ac:dyDescent="0.3">
      <c r="D958" s="23"/>
      <c r="AF958" s="34"/>
      <c r="AG958" s="34"/>
    </row>
    <row r="959" spans="4:33" s="2" customFormat="1" ht="27" customHeight="1" x14ac:dyDescent="0.3">
      <c r="D959" s="23"/>
      <c r="AF959" s="34"/>
      <c r="AG959" s="34"/>
    </row>
    <row r="960" spans="4:33" s="2" customFormat="1" ht="27" customHeight="1" x14ac:dyDescent="0.3">
      <c r="D960" s="23"/>
      <c r="AF960" s="34"/>
      <c r="AG960" s="34"/>
    </row>
    <row r="961" spans="4:33" s="2" customFormat="1" ht="27" customHeight="1" x14ac:dyDescent="0.3">
      <c r="D961" s="23"/>
      <c r="AF961" s="34"/>
      <c r="AG961" s="34"/>
    </row>
    <row r="962" spans="4:33" s="2" customFormat="1" ht="27" customHeight="1" x14ac:dyDescent="0.3">
      <c r="D962" s="23"/>
      <c r="AF962" s="34"/>
      <c r="AG962" s="34"/>
    </row>
    <row r="963" spans="4:33" s="2" customFormat="1" ht="27" customHeight="1" x14ac:dyDescent="0.3">
      <c r="D963" s="23"/>
      <c r="AF963" s="34"/>
      <c r="AG963" s="34"/>
    </row>
    <row r="964" spans="4:33" s="2" customFormat="1" ht="27" customHeight="1" x14ac:dyDescent="0.3">
      <c r="D964" s="23"/>
      <c r="AF964" s="34"/>
      <c r="AG964" s="34"/>
    </row>
    <row r="965" spans="4:33" s="2" customFormat="1" ht="27" customHeight="1" x14ac:dyDescent="0.3">
      <c r="D965" s="23"/>
      <c r="AF965" s="34"/>
      <c r="AG965" s="34"/>
    </row>
    <row r="966" spans="4:33" s="2" customFormat="1" ht="27" customHeight="1" x14ac:dyDescent="0.3">
      <c r="D966" s="23"/>
      <c r="AF966" s="34"/>
      <c r="AG966" s="34"/>
    </row>
    <row r="967" spans="4:33" s="2" customFormat="1" ht="27" customHeight="1" x14ac:dyDescent="0.3">
      <c r="D967" s="23"/>
      <c r="AF967" s="34"/>
      <c r="AG967" s="34"/>
    </row>
    <row r="968" spans="4:33" s="2" customFormat="1" ht="27" customHeight="1" x14ac:dyDescent="0.3">
      <c r="D968" s="23"/>
      <c r="AF968" s="34"/>
      <c r="AG968" s="34"/>
    </row>
    <row r="969" spans="4:33" s="2" customFormat="1" ht="27" customHeight="1" x14ac:dyDescent="0.3">
      <c r="D969" s="23"/>
      <c r="AF969" s="34"/>
      <c r="AG969" s="34"/>
    </row>
    <row r="970" spans="4:33" s="2" customFormat="1" ht="27" customHeight="1" x14ac:dyDescent="0.3">
      <c r="D970" s="23"/>
      <c r="AF970" s="34"/>
      <c r="AG970" s="34"/>
    </row>
    <row r="971" spans="4:33" s="2" customFormat="1" ht="27" customHeight="1" x14ac:dyDescent="0.3">
      <c r="D971" s="23"/>
      <c r="AF971" s="34"/>
      <c r="AG971" s="34"/>
    </row>
    <row r="972" spans="4:33" s="2" customFormat="1" ht="27" customHeight="1" x14ac:dyDescent="0.3">
      <c r="D972" s="23"/>
      <c r="AF972" s="34"/>
      <c r="AG972" s="34"/>
    </row>
    <row r="973" spans="4:33" s="2" customFormat="1" ht="27" customHeight="1" x14ac:dyDescent="0.3">
      <c r="D973" s="23"/>
      <c r="AF973" s="34"/>
      <c r="AG973" s="34"/>
    </row>
    <row r="974" spans="4:33" s="2" customFormat="1" ht="27" customHeight="1" x14ac:dyDescent="0.3">
      <c r="D974" s="23"/>
      <c r="AF974" s="34"/>
      <c r="AG974" s="34"/>
    </row>
    <row r="975" spans="4:33" s="2" customFormat="1" ht="27" customHeight="1" x14ac:dyDescent="0.3">
      <c r="D975" s="23"/>
      <c r="AF975" s="34"/>
      <c r="AG975" s="34"/>
    </row>
    <row r="976" spans="4:33" s="2" customFormat="1" ht="27" customHeight="1" x14ac:dyDescent="0.3">
      <c r="D976" s="23"/>
      <c r="AF976" s="34"/>
      <c r="AG976" s="34"/>
    </row>
    <row r="977" spans="4:33" s="2" customFormat="1" ht="27" customHeight="1" x14ac:dyDescent="0.3">
      <c r="D977" s="23"/>
      <c r="AF977" s="34"/>
      <c r="AG977" s="34"/>
    </row>
    <row r="978" spans="4:33" s="2" customFormat="1" ht="27" customHeight="1" x14ac:dyDescent="0.3">
      <c r="D978" s="23"/>
      <c r="AF978" s="34"/>
      <c r="AG978" s="34"/>
    </row>
    <row r="979" spans="4:33" s="2" customFormat="1" ht="27" customHeight="1" x14ac:dyDescent="0.3">
      <c r="D979" s="23"/>
      <c r="AF979" s="34"/>
      <c r="AG979" s="34"/>
    </row>
    <row r="980" spans="4:33" s="2" customFormat="1" ht="27" customHeight="1" x14ac:dyDescent="0.3">
      <c r="D980" s="23"/>
      <c r="AF980" s="34"/>
      <c r="AG980" s="34"/>
    </row>
    <row r="981" spans="4:33" s="2" customFormat="1" ht="27" customHeight="1" x14ac:dyDescent="0.3">
      <c r="D981" s="23"/>
      <c r="AF981" s="34"/>
      <c r="AG981" s="34"/>
    </row>
    <row r="982" spans="4:33" s="2" customFormat="1" ht="27" customHeight="1" x14ac:dyDescent="0.3">
      <c r="D982" s="23"/>
      <c r="AF982" s="34"/>
      <c r="AG982" s="34"/>
    </row>
    <row r="983" spans="4:33" s="2" customFormat="1" ht="27" customHeight="1" x14ac:dyDescent="0.3">
      <c r="D983" s="23"/>
      <c r="AF983" s="34"/>
      <c r="AG983" s="34"/>
    </row>
    <row r="984" spans="4:33" s="2" customFormat="1" ht="27" customHeight="1" x14ac:dyDescent="0.3">
      <c r="D984" s="23"/>
      <c r="AF984" s="34"/>
      <c r="AG984" s="34"/>
    </row>
    <row r="985" spans="4:33" s="2" customFormat="1" ht="27" customHeight="1" x14ac:dyDescent="0.3">
      <c r="D985" s="23"/>
      <c r="AF985" s="34"/>
      <c r="AG985" s="34"/>
    </row>
    <row r="986" spans="4:33" s="2" customFormat="1" ht="27" customHeight="1" x14ac:dyDescent="0.3">
      <c r="D986" s="23"/>
      <c r="AF986" s="34"/>
      <c r="AG986" s="34"/>
    </row>
    <row r="987" spans="4:33" s="2" customFormat="1" ht="27" customHeight="1" x14ac:dyDescent="0.3">
      <c r="D987" s="23"/>
      <c r="AF987" s="34"/>
      <c r="AG987" s="34"/>
    </row>
    <row r="988" spans="4:33" s="2" customFormat="1" ht="27" customHeight="1" x14ac:dyDescent="0.3">
      <c r="D988" s="23"/>
      <c r="AF988" s="34"/>
      <c r="AG988" s="34"/>
    </row>
    <row r="989" spans="4:33" s="2" customFormat="1" ht="27" customHeight="1" x14ac:dyDescent="0.3">
      <c r="D989" s="23"/>
      <c r="AF989" s="34"/>
      <c r="AG989" s="34"/>
    </row>
    <row r="990" spans="4:33" s="2" customFormat="1" ht="27" customHeight="1" x14ac:dyDescent="0.3">
      <c r="D990" s="23"/>
      <c r="AF990" s="34"/>
      <c r="AG990" s="34"/>
    </row>
    <row r="991" spans="4:33" s="2" customFormat="1" ht="27" customHeight="1" x14ac:dyDescent="0.3">
      <c r="D991" s="23"/>
      <c r="AF991" s="34"/>
      <c r="AG991" s="34"/>
    </row>
    <row r="992" spans="4:33" s="2" customFormat="1" ht="27" customHeight="1" x14ac:dyDescent="0.3">
      <c r="D992" s="23"/>
      <c r="AF992" s="34"/>
      <c r="AG992" s="34"/>
    </row>
    <row r="993" spans="4:33" s="2" customFormat="1" ht="27" customHeight="1" x14ac:dyDescent="0.3">
      <c r="D993" s="23"/>
      <c r="AF993" s="34"/>
      <c r="AG993" s="34"/>
    </row>
    <row r="994" spans="4:33" s="2" customFormat="1" ht="27" customHeight="1" x14ac:dyDescent="0.3">
      <c r="D994" s="23"/>
      <c r="AF994" s="34"/>
      <c r="AG994" s="34"/>
    </row>
    <row r="995" spans="4:33" s="2" customFormat="1" ht="27" customHeight="1" x14ac:dyDescent="0.3">
      <c r="D995" s="23"/>
      <c r="AF995" s="34"/>
      <c r="AG995" s="34"/>
    </row>
    <row r="996" spans="4:33" s="2" customFormat="1" ht="27" customHeight="1" x14ac:dyDescent="0.3">
      <c r="D996" s="23"/>
      <c r="AF996" s="34"/>
      <c r="AG996" s="34"/>
    </row>
    <row r="997" spans="4:33" s="2" customFormat="1" ht="27" customHeight="1" x14ac:dyDescent="0.3">
      <c r="D997" s="23"/>
      <c r="AF997" s="34"/>
      <c r="AG997" s="34"/>
    </row>
    <row r="998" spans="4:33" s="2" customFormat="1" ht="27" customHeight="1" x14ac:dyDescent="0.3">
      <c r="D998" s="23"/>
      <c r="AF998" s="34"/>
      <c r="AG998" s="34"/>
    </row>
    <row r="999" spans="4:33" s="2" customFormat="1" ht="27" customHeight="1" x14ac:dyDescent="0.3">
      <c r="D999" s="23"/>
      <c r="AF999" s="34"/>
      <c r="AG999" s="34"/>
    </row>
    <row r="1000" spans="4:33" s="2" customFormat="1" ht="27" customHeight="1" x14ac:dyDescent="0.3">
      <c r="D1000" s="23"/>
      <c r="AF1000" s="34"/>
      <c r="AG1000" s="34"/>
    </row>
    <row r="1001" spans="4:33" s="2" customFormat="1" ht="27" customHeight="1" x14ac:dyDescent="0.3">
      <c r="D1001" s="23"/>
      <c r="AF1001" s="34"/>
      <c r="AG1001" s="34"/>
    </row>
    <row r="1002" spans="4:33" s="2" customFormat="1" ht="27" customHeight="1" x14ac:dyDescent="0.3">
      <c r="D1002" s="23"/>
      <c r="AF1002" s="34"/>
      <c r="AG1002" s="34"/>
    </row>
    <row r="1003" spans="4:33" s="2" customFormat="1" ht="27" customHeight="1" x14ac:dyDescent="0.3">
      <c r="D1003" s="23"/>
      <c r="AF1003" s="34"/>
      <c r="AG1003" s="34"/>
    </row>
    <row r="1004" spans="4:33" s="2" customFormat="1" ht="27" customHeight="1" x14ac:dyDescent="0.3">
      <c r="D1004" s="23"/>
      <c r="AF1004" s="34"/>
      <c r="AG1004" s="34"/>
    </row>
    <row r="1005" spans="4:33" s="2" customFormat="1" ht="27" customHeight="1" x14ac:dyDescent="0.3">
      <c r="D1005" s="23"/>
      <c r="AF1005" s="34"/>
      <c r="AG1005" s="34"/>
    </row>
    <row r="1006" spans="4:33" s="2" customFormat="1" ht="27" customHeight="1" x14ac:dyDescent="0.3">
      <c r="D1006" s="23"/>
      <c r="AF1006" s="34"/>
      <c r="AG1006" s="34"/>
    </row>
    <row r="1007" spans="4:33" s="2" customFormat="1" ht="27" customHeight="1" x14ac:dyDescent="0.3">
      <c r="D1007" s="23"/>
      <c r="AF1007" s="34"/>
      <c r="AG1007" s="34"/>
    </row>
    <row r="1008" spans="4:33" s="2" customFormat="1" ht="27" customHeight="1" x14ac:dyDescent="0.3">
      <c r="D1008" s="23"/>
      <c r="AF1008" s="34"/>
      <c r="AG1008" s="34"/>
    </row>
    <row r="1009" spans="4:33" s="2" customFormat="1" ht="27" customHeight="1" x14ac:dyDescent="0.3">
      <c r="D1009" s="23"/>
      <c r="AF1009" s="34"/>
      <c r="AG1009" s="34"/>
    </row>
    <row r="1010" spans="4:33" s="2" customFormat="1" ht="27" customHeight="1" x14ac:dyDescent="0.3">
      <c r="D1010" s="23"/>
      <c r="AF1010" s="34"/>
      <c r="AG1010" s="34"/>
    </row>
    <row r="1011" spans="4:33" s="2" customFormat="1" ht="27" customHeight="1" x14ac:dyDescent="0.3">
      <c r="D1011" s="23"/>
      <c r="AF1011" s="34"/>
      <c r="AG1011" s="34"/>
    </row>
    <row r="1012" spans="4:33" s="2" customFormat="1" ht="27" customHeight="1" x14ac:dyDescent="0.3">
      <c r="D1012" s="23"/>
      <c r="AF1012" s="34"/>
      <c r="AG1012" s="34"/>
    </row>
    <row r="1013" spans="4:33" s="2" customFormat="1" ht="27" customHeight="1" x14ac:dyDescent="0.3">
      <c r="D1013" s="23"/>
      <c r="AF1013" s="34"/>
      <c r="AG1013" s="34"/>
    </row>
    <row r="1014" spans="4:33" s="2" customFormat="1" ht="27" customHeight="1" x14ac:dyDescent="0.3">
      <c r="D1014" s="23"/>
      <c r="AF1014" s="34"/>
      <c r="AG1014" s="34"/>
    </row>
    <row r="1015" spans="4:33" s="2" customFormat="1" ht="27" customHeight="1" x14ac:dyDescent="0.3">
      <c r="D1015" s="23"/>
      <c r="AF1015" s="34"/>
      <c r="AG1015" s="34"/>
    </row>
    <row r="1016" spans="4:33" s="2" customFormat="1" ht="27" customHeight="1" x14ac:dyDescent="0.3">
      <c r="D1016" s="23"/>
      <c r="AF1016" s="34"/>
      <c r="AG1016" s="34"/>
    </row>
    <row r="1017" spans="4:33" s="2" customFormat="1" ht="27" customHeight="1" x14ac:dyDescent="0.3">
      <c r="D1017" s="23"/>
      <c r="AF1017" s="34"/>
      <c r="AG1017" s="34"/>
    </row>
    <row r="1018" spans="4:33" s="2" customFormat="1" ht="27" customHeight="1" x14ac:dyDescent="0.3">
      <c r="D1018" s="23"/>
      <c r="AF1018" s="34"/>
      <c r="AG1018" s="34"/>
    </row>
    <row r="1019" spans="4:33" s="2" customFormat="1" ht="27" customHeight="1" x14ac:dyDescent="0.3">
      <c r="D1019" s="23"/>
      <c r="AF1019" s="34"/>
      <c r="AG1019" s="34"/>
    </row>
    <row r="1020" spans="4:33" s="2" customFormat="1" ht="27" customHeight="1" x14ac:dyDescent="0.3">
      <c r="D1020" s="23"/>
      <c r="AF1020" s="34"/>
      <c r="AG1020" s="34"/>
    </row>
    <row r="1021" spans="4:33" s="2" customFormat="1" ht="27" customHeight="1" x14ac:dyDescent="0.3">
      <c r="D1021" s="23"/>
      <c r="AF1021" s="34"/>
      <c r="AG1021" s="34"/>
    </row>
    <row r="1022" spans="4:33" s="2" customFormat="1" ht="27" customHeight="1" x14ac:dyDescent="0.3">
      <c r="D1022" s="23"/>
      <c r="AF1022" s="34"/>
      <c r="AG1022" s="34"/>
    </row>
    <row r="1023" spans="4:33" s="2" customFormat="1" ht="27" customHeight="1" x14ac:dyDescent="0.3">
      <c r="D1023" s="23"/>
      <c r="AF1023" s="34"/>
      <c r="AG1023" s="34"/>
    </row>
    <row r="1024" spans="4:33" s="2" customFormat="1" ht="27" customHeight="1" x14ac:dyDescent="0.3">
      <c r="D1024" s="23"/>
      <c r="AF1024" s="34"/>
      <c r="AG1024" s="34"/>
    </row>
    <row r="1025" spans="4:33" s="2" customFormat="1" ht="27" customHeight="1" x14ac:dyDescent="0.3">
      <c r="D1025" s="23"/>
      <c r="AF1025" s="34"/>
      <c r="AG1025" s="34"/>
    </row>
    <row r="1026" spans="4:33" s="2" customFormat="1" ht="27" customHeight="1" x14ac:dyDescent="0.3">
      <c r="D1026" s="23"/>
      <c r="AF1026" s="34"/>
      <c r="AG1026" s="34"/>
    </row>
    <row r="1027" spans="4:33" s="2" customFormat="1" ht="27" customHeight="1" x14ac:dyDescent="0.3">
      <c r="D1027" s="23"/>
      <c r="AF1027" s="34"/>
      <c r="AG1027" s="34"/>
    </row>
    <row r="1028" spans="4:33" s="2" customFormat="1" ht="27" customHeight="1" x14ac:dyDescent="0.3">
      <c r="D1028" s="23"/>
      <c r="AF1028" s="34"/>
      <c r="AG1028" s="34"/>
    </row>
    <row r="1029" spans="4:33" s="2" customFormat="1" ht="27" customHeight="1" x14ac:dyDescent="0.3">
      <c r="D1029" s="23"/>
      <c r="AF1029" s="34"/>
      <c r="AG1029" s="34"/>
    </row>
    <row r="1030" spans="4:33" s="2" customFormat="1" ht="27" customHeight="1" x14ac:dyDescent="0.3">
      <c r="D1030" s="23"/>
      <c r="AF1030" s="34"/>
      <c r="AG1030" s="34"/>
    </row>
    <row r="1031" spans="4:33" s="2" customFormat="1" ht="27" customHeight="1" x14ac:dyDescent="0.3">
      <c r="D1031" s="23"/>
      <c r="AF1031" s="34"/>
      <c r="AG1031" s="34"/>
    </row>
    <row r="1032" spans="4:33" s="2" customFormat="1" ht="27" customHeight="1" x14ac:dyDescent="0.3">
      <c r="D1032" s="23"/>
      <c r="AF1032" s="34"/>
      <c r="AG1032" s="34"/>
    </row>
    <row r="1033" spans="4:33" s="2" customFormat="1" ht="27" customHeight="1" x14ac:dyDescent="0.3">
      <c r="D1033" s="23"/>
      <c r="AF1033" s="34"/>
      <c r="AG1033" s="34"/>
    </row>
    <row r="1034" spans="4:33" s="2" customFormat="1" ht="27" customHeight="1" x14ac:dyDescent="0.3">
      <c r="D1034" s="23"/>
      <c r="AF1034" s="34"/>
      <c r="AG1034" s="34"/>
    </row>
    <row r="1035" spans="4:33" s="2" customFormat="1" ht="27" customHeight="1" x14ac:dyDescent="0.3">
      <c r="D1035" s="23"/>
      <c r="AF1035" s="34"/>
      <c r="AG1035" s="34"/>
    </row>
    <row r="1036" spans="4:33" s="2" customFormat="1" ht="27" customHeight="1" x14ac:dyDescent="0.3">
      <c r="D1036" s="23"/>
      <c r="AF1036" s="34"/>
      <c r="AG1036" s="34"/>
    </row>
    <row r="1037" spans="4:33" s="2" customFormat="1" ht="27" customHeight="1" x14ac:dyDescent="0.3">
      <c r="D1037" s="23"/>
      <c r="AF1037" s="34"/>
      <c r="AG1037" s="34"/>
    </row>
    <row r="1038" spans="4:33" s="2" customFormat="1" ht="27" customHeight="1" x14ac:dyDescent="0.3">
      <c r="D1038" s="23"/>
      <c r="AF1038" s="34"/>
      <c r="AG1038" s="34"/>
    </row>
    <row r="1039" spans="4:33" s="2" customFormat="1" ht="27" customHeight="1" x14ac:dyDescent="0.3">
      <c r="D1039" s="23"/>
      <c r="AF1039" s="34"/>
      <c r="AG1039" s="34"/>
    </row>
    <row r="1040" spans="4:33" s="2" customFormat="1" ht="27" customHeight="1" x14ac:dyDescent="0.3">
      <c r="D1040" s="23"/>
      <c r="AF1040" s="34"/>
      <c r="AG1040" s="34"/>
    </row>
    <row r="1041" spans="4:33" s="2" customFormat="1" ht="27" customHeight="1" x14ac:dyDescent="0.3">
      <c r="D1041" s="23"/>
      <c r="AF1041" s="34"/>
      <c r="AG1041" s="34"/>
    </row>
    <row r="1042" spans="4:33" s="2" customFormat="1" ht="27" customHeight="1" x14ac:dyDescent="0.3">
      <c r="D1042" s="23"/>
      <c r="AF1042" s="34"/>
      <c r="AG1042" s="34"/>
    </row>
    <row r="1043" spans="4:33" s="2" customFormat="1" ht="27" customHeight="1" x14ac:dyDescent="0.3">
      <c r="D1043" s="23"/>
      <c r="AF1043" s="34"/>
      <c r="AG1043" s="34"/>
    </row>
    <row r="1044" spans="4:33" s="2" customFormat="1" ht="27" customHeight="1" x14ac:dyDescent="0.3">
      <c r="D1044" s="23"/>
      <c r="AF1044" s="34"/>
      <c r="AG1044" s="34"/>
    </row>
    <row r="1045" spans="4:33" s="2" customFormat="1" ht="27" customHeight="1" x14ac:dyDescent="0.3">
      <c r="D1045" s="23"/>
      <c r="AF1045" s="34"/>
      <c r="AG1045" s="34"/>
    </row>
    <row r="1046" spans="4:33" s="2" customFormat="1" ht="27" customHeight="1" x14ac:dyDescent="0.3">
      <c r="D1046" s="23"/>
      <c r="AF1046" s="34"/>
      <c r="AG1046" s="34"/>
    </row>
    <row r="1047" spans="4:33" s="2" customFormat="1" ht="27" customHeight="1" x14ac:dyDescent="0.3">
      <c r="D1047" s="23"/>
      <c r="AF1047" s="34"/>
      <c r="AG1047" s="34"/>
    </row>
    <row r="1048" spans="4:33" s="2" customFormat="1" ht="27" customHeight="1" x14ac:dyDescent="0.3">
      <c r="D1048" s="23"/>
      <c r="AF1048" s="34"/>
      <c r="AG1048" s="34"/>
    </row>
    <row r="1049" spans="4:33" s="2" customFormat="1" ht="27" customHeight="1" x14ac:dyDescent="0.3">
      <c r="D1049" s="23"/>
      <c r="AF1049" s="34"/>
      <c r="AG1049" s="34"/>
    </row>
    <row r="1050" spans="4:33" s="2" customFormat="1" ht="27" customHeight="1" x14ac:dyDescent="0.3">
      <c r="D1050" s="23"/>
      <c r="AF1050" s="34"/>
      <c r="AG1050" s="34"/>
    </row>
    <row r="1051" spans="4:33" s="2" customFormat="1" ht="27" customHeight="1" x14ac:dyDescent="0.3">
      <c r="D1051" s="23"/>
      <c r="AF1051" s="34"/>
      <c r="AG1051" s="34"/>
    </row>
    <row r="1052" spans="4:33" s="2" customFormat="1" ht="27" customHeight="1" x14ac:dyDescent="0.3">
      <c r="D1052" s="23"/>
      <c r="AF1052" s="34"/>
      <c r="AG1052" s="34"/>
    </row>
    <row r="1053" spans="4:33" s="2" customFormat="1" ht="27" customHeight="1" x14ac:dyDescent="0.3">
      <c r="D1053" s="23"/>
      <c r="AF1053" s="34"/>
      <c r="AG1053" s="34"/>
    </row>
    <row r="1054" spans="4:33" s="2" customFormat="1" ht="27" customHeight="1" x14ac:dyDescent="0.3">
      <c r="D1054" s="23"/>
      <c r="AF1054" s="34"/>
      <c r="AG1054" s="34"/>
    </row>
    <row r="1055" spans="4:33" s="2" customFormat="1" ht="27" customHeight="1" x14ac:dyDescent="0.3">
      <c r="D1055" s="23"/>
      <c r="AF1055" s="34"/>
      <c r="AG1055" s="34"/>
    </row>
    <row r="1056" spans="4:33" s="2" customFormat="1" ht="27" customHeight="1" x14ac:dyDescent="0.3">
      <c r="D1056" s="23"/>
      <c r="AF1056" s="34"/>
      <c r="AG1056" s="34"/>
    </row>
    <row r="1057" spans="4:33" s="2" customFormat="1" ht="27" customHeight="1" x14ac:dyDescent="0.3">
      <c r="D1057" s="23"/>
      <c r="AF1057" s="34"/>
      <c r="AG1057" s="34"/>
    </row>
    <row r="1058" spans="4:33" s="2" customFormat="1" ht="27" customHeight="1" x14ac:dyDescent="0.3">
      <c r="D1058" s="23"/>
      <c r="AF1058" s="34"/>
      <c r="AG1058" s="34"/>
    </row>
    <row r="1059" spans="4:33" s="2" customFormat="1" ht="27" customHeight="1" x14ac:dyDescent="0.3">
      <c r="D1059" s="23"/>
      <c r="AF1059" s="34"/>
      <c r="AG1059" s="34"/>
    </row>
    <row r="1060" spans="4:33" s="2" customFormat="1" ht="27" customHeight="1" x14ac:dyDescent="0.3">
      <c r="D1060" s="23"/>
      <c r="AF1060" s="34"/>
      <c r="AG1060" s="34"/>
    </row>
    <row r="1061" spans="4:33" s="2" customFormat="1" ht="27" customHeight="1" x14ac:dyDescent="0.3">
      <c r="D1061" s="23"/>
      <c r="AF1061" s="34"/>
      <c r="AG1061" s="34"/>
    </row>
    <row r="1062" spans="4:33" s="2" customFormat="1" ht="27" customHeight="1" x14ac:dyDescent="0.3">
      <c r="D1062" s="23"/>
      <c r="AF1062" s="34"/>
      <c r="AG1062" s="34"/>
    </row>
    <row r="1063" spans="4:33" s="2" customFormat="1" ht="27" customHeight="1" x14ac:dyDescent="0.3">
      <c r="D1063" s="23"/>
      <c r="AF1063" s="34"/>
      <c r="AG1063" s="34"/>
    </row>
    <row r="1064" spans="4:33" s="2" customFormat="1" ht="27" customHeight="1" x14ac:dyDescent="0.3">
      <c r="D1064" s="23"/>
      <c r="AF1064" s="34"/>
      <c r="AG1064" s="34"/>
    </row>
    <row r="1065" spans="4:33" s="2" customFormat="1" ht="27" customHeight="1" x14ac:dyDescent="0.3">
      <c r="D1065" s="23"/>
      <c r="AF1065" s="34"/>
      <c r="AG1065" s="34"/>
    </row>
    <row r="1066" spans="4:33" s="2" customFormat="1" ht="27" customHeight="1" x14ac:dyDescent="0.3">
      <c r="D1066" s="23"/>
      <c r="AF1066" s="34"/>
      <c r="AG1066" s="34"/>
    </row>
    <row r="1067" spans="4:33" s="2" customFormat="1" ht="27" customHeight="1" x14ac:dyDescent="0.3">
      <c r="D1067" s="23"/>
      <c r="AF1067" s="34"/>
      <c r="AG1067" s="34"/>
    </row>
    <row r="1068" spans="4:33" s="2" customFormat="1" ht="27" customHeight="1" x14ac:dyDescent="0.3">
      <c r="D1068" s="23"/>
      <c r="AF1068" s="34"/>
      <c r="AG1068" s="34"/>
    </row>
    <row r="1069" spans="4:33" s="2" customFormat="1" ht="27" customHeight="1" x14ac:dyDescent="0.3">
      <c r="D1069" s="23"/>
      <c r="AF1069" s="34"/>
      <c r="AG1069" s="34"/>
    </row>
    <row r="1070" spans="4:33" s="2" customFormat="1" ht="27" customHeight="1" x14ac:dyDescent="0.3">
      <c r="D1070" s="23"/>
      <c r="AF1070" s="34"/>
      <c r="AG1070" s="34"/>
    </row>
    <row r="1071" spans="4:33" s="2" customFormat="1" ht="27" customHeight="1" x14ac:dyDescent="0.3">
      <c r="D1071" s="23"/>
      <c r="AF1071" s="34"/>
      <c r="AG1071" s="34"/>
    </row>
    <row r="1072" spans="4:33" s="2" customFormat="1" ht="27" customHeight="1" x14ac:dyDescent="0.3">
      <c r="D1072" s="23"/>
      <c r="AF1072" s="34"/>
      <c r="AG1072" s="34"/>
    </row>
    <row r="1073" spans="4:33" s="2" customFormat="1" ht="27" customHeight="1" x14ac:dyDescent="0.3">
      <c r="D1073" s="23"/>
      <c r="AF1073" s="34"/>
      <c r="AG1073" s="34"/>
    </row>
    <row r="1074" spans="4:33" s="2" customFormat="1" ht="27" customHeight="1" x14ac:dyDescent="0.3">
      <c r="D1074" s="23"/>
      <c r="AF1074" s="34"/>
      <c r="AG1074" s="34"/>
    </row>
    <row r="1075" spans="4:33" s="2" customFormat="1" ht="27" customHeight="1" x14ac:dyDescent="0.3">
      <c r="D1075" s="23"/>
      <c r="AF1075" s="34"/>
      <c r="AG1075" s="34"/>
    </row>
    <row r="1076" spans="4:33" s="2" customFormat="1" ht="27" customHeight="1" x14ac:dyDescent="0.3">
      <c r="D1076" s="23"/>
      <c r="AF1076" s="34"/>
      <c r="AG1076" s="34"/>
    </row>
    <row r="1077" spans="4:33" s="2" customFormat="1" ht="27" customHeight="1" x14ac:dyDescent="0.3">
      <c r="D1077" s="23"/>
      <c r="AF1077" s="34"/>
      <c r="AG1077" s="34"/>
    </row>
    <row r="1078" spans="4:33" s="2" customFormat="1" ht="27" customHeight="1" x14ac:dyDescent="0.3">
      <c r="D1078" s="23"/>
      <c r="AF1078" s="34"/>
      <c r="AG1078" s="34"/>
    </row>
    <row r="1079" spans="4:33" s="2" customFormat="1" ht="27" customHeight="1" x14ac:dyDescent="0.3">
      <c r="D1079" s="23"/>
      <c r="AF1079" s="34"/>
      <c r="AG1079" s="34"/>
    </row>
    <row r="1080" spans="4:33" s="2" customFormat="1" ht="27" customHeight="1" x14ac:dyDescent="0.3">
      <c r="D1080" s="23"/>
      <c r="AF1080" s="34"/>
      <c r="AG1080" s="34"/>
    </row>
    <row r="1081" spans="4:33" s="2" customFormat="1" ht="27" customHeight="1" x14ac:dyDescent="0.3">
      <c r="D1081" s="23"/>
      <c r="AF1081" s="34"/>
      <c r="AG1081" s="34"/>
    </row>
    <row r="1082" spans="4:33" s="2" customFormat="1" ht="27" customHeight="1" x14ac:dyDescent="0.3">
      <c r="D1082" s="23"/>
      <c r="AF1082" s="34"/>
      <c r="AG1082" s="34"/>
    </row>
    <row r="1083" spans="4:33" s="2" customFormat="1" ht="27" customHeight="1" x14ac:dyDescent="0.3">
      <c r="D1083" s="23"/>
      <c r="AF1083" s="34"/>
      <c r="AG1083" s="34"/>
    </row>
    <row r="1084" spans="4:33" s="2" customFormat="1" ht="27" customHeight="1" x14ac:dyDescent="0.3">
      <c r="D1084" s="23"/>
      <c r="AF1084" s="34"/>
      <c r="AG1084" s="34"/>
    </row>
    <row r="1085" spans="4:33" s="2" customFormat="1" ht="27" customHeight="1" x14ac:dyDescent="0.3">
      <c r="D1085" s="23"/>
      <c r="AF1085" s="34"/>
      <c r="AG1085" s="34"/>
    </row>
    <row r="1086" spans="4:33" s="2" customFormat="1" ht="27" customHeight="1" x14ac:dyDescent="0.3">
      <c r="D1086" s="23"/>
      <c r="AF1086" s="34"/>
      <c r="AG1086" s="34"/>
    </row>
    <row r="1087" spans="4:33" s="2" customFormat="1" ht="27" customHeight="1" x14ac:dyDescent="0.3">
      <c r="D1087" s="23"/>
      <c r="AF1087" s="34"/>
      <c r="AG1087" s="34"/>
    </row>
    <row r="1088" spans="4:33" s="2" customFormat="1" ht="27" customHeight="1" x14ac:dyDescent="0.3">
      <c r="D1088" s="23"/>
      <c r="AF1088" s="34"/>
      <c r="AG1088" s="34"/>
    </row>
    <row r="1089" spans="4:33" s="2" customFormat="1" ht="27" customHeight="1" x14ac:dyDescent="0.3">
      <c r="D1089" s="23"/>
      <c r="AF1089" s="34"/>
      <c r="AG1089" s="34"/>
    </row>
    <row r="1090" spans="4:33" s="2" customFormat="1" ht="27" customHeight="1" x14ac:dyDescent="0.3">
      <c r="D1090" s="23"/>
      <c r="AF1090" s="34"/>
      <c r="AG1090" s="34"/>
    </row>
    <row r="1091" spans="4:33" s="2" customFormat="1" ht="27" customHeight="1" x14ac:dyDescent="0.3">
      <c r="D1091" s="23"/>
      <c r="AF1091" s="34"/>
      <c r="AG1091" s="34"/>
    </row>
    <row r="1092" spans="4:33" s="2" customFormat="1" ht="27" customHeight="1" x14ac:dyDescent="0.3">
      <c r="D1092" s="23"/>
      <c r="AF1092" s="34"/>
      <c r="AG1092" s="34"/>
    </row>
    <row r="1093" spans="4:33" s="2" customFormat="1" ht="27" customHeight="1" x14ac:dyDescent="0.3">
      <c r="D1093" s="23"/>
      <c r="AF1093" s="34"/>
      <c r="AG1093" s="34"/>
    </row>
    <row r="1094" spans="4:33" s="2" customFormat="1" ht="27" customHeight="1" x14ac:dyDescent="0.3">
      <c r="D1094" s="23"/>
      <c r="AF1094" s="34"/>
      <c r="AG1094" s="34"/>
    </row>
    <row r="1095" spans="4:33" s="2" customFormat="1" ht="27" customHeight="1" x14ac:dyDescent="0.3">
      <c r="D1095" s="23"/>
      <c r="AF1095" s="34"/>
      <c r="AG1095" s="34"/>
    </row>
    <row r="1096" spans="4:33" s="2" customFormat="1" ht="27" customHeight="1" x14ac:dyDescent="0.3">
      <c r="D1096" s="23"/>
      <c r="AF1096" s="34"/>
      <c r="AG1096" s="34"/>
    </row>
    <row r="1097" spans="4:33" s="2" customFormat="1" ht="27" customHeight="1" x14ac:dyDescent="0.3">
      <c r="D1097" s="23"/>
      <c r="AF1097" s="34"/>
      <c r="AG1097" s="34"/>
    </row>
    <row r="1098" spans="4:33" s="2" customFormat="1" ht="27" customHeight="1" x14ac:dyDescent="0.3">
      <c r="D1098" s="23"/>
      <c r="AF1098" s="34"/>
      <c r="AG1098" s="34"/>
    </row>
    <row r="1099" spans="4:33" s="2" customFormat="1" ht="27" customHeight="1" x14ac:dyDescent="0.3">
      <c r="D1099" s="23"/>
      <c r="AF1099" s="34"/>
      <c r="AG1099" s="34"/>
    </row>
    <row r="1100" spans="4:33" s="2" customFormat="1" ht="27" customHeight="1" x14ac:dyDescent="0.3">
      <c r="D1100" s="23"/>
      <c r="AF1100" s="34"/>
      <c r="AG1100" s="34"/>
    </row>
    <row r="1101" spans="4:33" s="2" customFormat="1" ht="27" customHeight="1" x14ac:dyDescent="0.3">
      <c r="D1101" s="23"/>
      <c r="AF1101" s="34"/>
      <c r="AG1101" s="34"/>
    </row>
    <row r="1102" spans="4:33" s="2" customFormat="1" ht="27" customHeight="1" x14ac:dyDescent="0.3">
      <c r="D1102" s="23"/>
      <c r="AF1102" s="34"/>
      <c r="AG1102" s="34"/>
    </row>
    <row r="1103" spans="4:33" s="2" customFormat="1" ht="27" customHeight="1" x14ac:dyDescent="0.3">
      <c r="D1103" s="23"/>
      <c r="AF1103" s="34"/>
      <c r="AG1103" s="34"/>
    </row>
    <row r="1104" spans="4:33" s="2" customFormat="1" ht="27" customHeight="1" x14ac:dyDescent="0.3">
      <c r="D1104" s="23"/>
      <c r="AF1104" s="34"/>
      <c r="AG1104" s="34"/>
    </row>
    <row r="1105" spans="4:33" s="2" customFormat="1" ht="27" customHeight="1" x14ac:dyDescent="0.3">
      <c r="D1105" s="23"/>
      <c r="AF1105" s="34"/>
      <c r="AG1105" s="34"/>
    </row>
    <row r="1106" spans="4:33" s="2" customFormat="1" ht="27" customHeight="1" x14ac:dyDescent="0.3">
      <c r="D1106" s="23"/>
      <c r="AF1106" s="34"/>
      <c r="AG1106" s="34"/>
    </row>
    <row r="1107" spans="4:33" s="2" customFormat="1" ht="27" customHeight="1" x14ac:dyDescent="0.3">
      <c r="D1107" s="23"/>
      <c r="AF1107" s="34"/>
      <c r="AG1107" s="34"/>
    </row>
    <row r="1108" spans="4:33" s="2" customFormat="1" ht="27" customHeight="1" x14ac:dyDescent="0.3">
      <c r="D1108" s="23"/>
      <c r="AF1108" s="34"/>
      <c r="AG1108" s="34"/>
    </row>
    <row r="1109" spans="4:33" s="2" customFormat="1" ht="27" customHeight="1" x14ac:dyDescent="0.3">
      <c r="D1109" s="23"/>
      <c r="AF1109" s="34"/>
      <c r="AG1109" s="34"/>
    </row>
    <row r="1110" spans="4:33" s="2" customFormat="1" ht="27" customHeight="1" x14ac:dyDescent="0.3">
      <c r="D1110" s="23"/>
      <c r="AF1110" s="34"/>
      <c r="AG1110" s="34"/>
    </row>
    <row r="1111" spans="4:33" s="2" customFormat="1" ht="27" customHeight="1" x14ac:dyDescent="0.3">
      <c r="D1111" s="23"/>
      <c r="AF1111" s="34"/>
      <c r="AG1111" s="34"/>
    </row>
    <row r="1112" spans="4:33" s="2" customFormat="1" ht="27" customHeight="1" x14ac:dyDescent="0.3">
      <c r="D1112" s="23"/>
      <c r="AF1112" s="34"/>
      <c r="AG1112" s="34"/>
    </row>
    <row r="1113" spans="4:33" s="2" customFormat="1" ht="27" customHeight="1" x14ac:dyDescent="0.3">
      <c r="D1113" s="23"/>
      <c r="AF1113" s="34"/>
      <c r="AG1113" s="34"/>
    </row>
    <row r="1114" spans="4:33" s="2" customFormat="1" ht="27" customHeight="1" x14ac:dyDescent="0.3">
      <c r="D1114" s="23"/>
      <c r="AF1114" s="34"/>
      <c r="AG1114" s="34"/>
    </row>
    <row r="1115" spans="4:33" s="2" customFormat="1" ht="27" customHeight="1" x14ac:dyDescent="0.3">
      <c r="D1115" s="23"/>
      <c r="AF1115" s="34"/>
      <c r="AG1115" s="34"/>
    </row>
    <row r="1116" spans="4:33" s="2" customFormat="1" ht="27" customHeight="1" x14ac:dyDescent="0.3">
      <c r="D1116" s="23"/>
      <c r="AF1116" s="34"/>
      <c r="AG1116" s="34"/>
    </row>
    <row r="1117" spans="4:33" s="2" customFormat="1" ht="27" customHeight="1" x14ac:dyDescent="0.3">
      <c r="D1117" s="23"/>
      <c r="AF1117" s="34"/>
      <c r="AG1117" s="34"/>
    </row>
    <row r="1118" spans="4:33" s="2" customFormat="1" ht="27" customHeight="1" x14ac:dyDescent="0.3">
      <c r="D1118" s="23"/>
      <c r="AF1118" s="34"/>
      <c r="AG1118" s="34"/>
    </row>
    <row r="1119" spans="4:33" s="2" customFormat="1" ht="27" customHeight="1" x14ac:dyDescent="0.3">
      <c r="D1119" s="23"/>
      <c r="AF1119" s="34"/>
      <c r="AG1119" s="34"/>
    </row>
    <row r="1120" spans="4:33" s="2" customFormat="1" ht="27" customHeight="1" x14ac:dyDescent="0.3">
      <c r="D1120" s="23"/>
      <c r="AF1120" s="34"/>
      <c r="AG1120" s="34"/>
    </row>
    <row r="1121" spans="4:33" s="2" customFormat="1" ht="27" customHeight="1" x14ac:dyDescent="0.3">
      <c r="D1121" s="23"/>
      <c r="AF1121" s="34"/>
      <c r="AG1121" s="34"/>
    </row>
    <row r="1122" spans="4:33" s="2" customFormat="1" ht="27" customHeight="1" x14ac:dyDescent="0.3">
      <c r="D1122" s="23"/>
      <c r="AF1122" s="34"/>
      <c r="AG1122" s="34"/>
    </row>
    <row r="1123" spans="4:33" s="2" customFormat="1" ht="27" customHeight="1" x14ac:dyDescent="0.3">
      <c r="D1123" s="23"/>
      <c r="AF1123" s="34"/>
      <c r="AG1123" s="34"/>
    </row>
    <row r="1124" spans="4:33" s="2" customFormat="1" ht="27" customHeight="1" x14ac:dyDescent="0.3">
      <c r="D1124" s="23"/>
      <c r="AF1124" s="34"/>
      <c r="AG1124" s="34"/>
    </row>
    <row r="1125" spans="4:33" s="2" customFormat="1" ht="27" customHeight="1" x14ac:dyDescent="0.3">
      <c r="D1125" s="23"/>
      <c r="AF1125" s="34"/>
      <c r="AG1125" s="34"/>
    </row>
    <row r="1126" spans="4:33" s="2" customFormat="1" ht="27" customHeight="1" x14ac:dyDescent="0.3">
      <c r="D1126" s="23"/>
      <c r="AF1126" s="34"/>
      <c r="AG1126" s="34"/>
    </row>
    <row r="1127" spans="4:33" s="2" customFormat="1" ht="27" customHeight="1" x14ac:dyDescent="0.3">
      <c r="D1127" s="23"/>
      <c r="AF1127" s="34"/>
      <c r="AG1127" s="34"/>
    </row>
    <row r="1128" spans="4:33" s="2" customFormat="1" ht="27" customHeight="1" x14ac:dyDescent="0.3">
      <c r="D1128" s="23"/>
      <c r="AF1128" s="34"/>
      <c r="AG1128" s="34"/>
    </row>
    <row r="1129" spans="4:33" s="2" customFormat="1" ht="27" customHeight="1" x14ac:dyDescent="0.3">
      <c r="D1129" s="23"/>
      <c r="AF1129" s="34"/>
      <c r="AG1129" s="34"/>
    </row>
    <row r="1130" spans="4:33" s="2" customFormat="1" ht="27" customHeight="1" x14ac:dyDescent="0.3">
      <c r="D1130" s="23"/>
      <c r="AF1130" s="34"/>
      <c r="AG1130" s="34"/>
    </row>
    <row r="1131" spans="4:33" s="2" customFormat="1" ht="27" customHeight="1" x14ac:dyDescent="0.3">
      <c r="D1131" s="23"/>
      <c r="AF1131" s="34"/>
      <c r="AG1131" s="34"/>
    </row>
    <row r="1132" spans="4:33" s="2" customFormat="1" ht="27" customHeight="1" x14ac:dyDescent="0.3">
      <c r="D1132" s="23"/>
      <c r="AF1132" s="34"/>
      <c r="AG1132" s="34"/>
    </row>
    <row r="1133" spans="4:33" s="2" customFormat="1" ht="27" customHeight="1" x14ac:dyDescent="0.3">
      <c r="D1133" s="23"/>
      <c r="AF1133" s="34"/>
      <c r="AG1133" s="34"/>
    </row>
    <row r="1134" spans="4:33" s="2" customFormat="1" ht="27" customHeight="1" x14ac:dyDescent="0.3">
      <c r="D1134" s="23"/>
      <c r="AF1134" s="34"/>
      <c r="AG1134" s="34"/>
    </row>
    <row r="1135" spans="4:33" s="2" customFormat="1" ht="27" customHeight="1" x14ac:dyDescent="0.3">
      <c r="D1135" s="23"/>
      <c r="AF1135" s="34"/>
      <c r="AG1135" s="34"/>
    </row>
    <row r="1136" spans="4:33" s="2" customFormat="1" ht="27" customHeight="1" x14ac:dyDescent="0.3">
      <c r="D1136" s="23"/>
      <c r="AF1136" s="34"/>
      <c r="AG1136" s="34"/>
    </row>
    <row r="1137" spans="4:33" s="2" customFormat="1" ht="27" customHeight="1" x14ac:dyDescent="0.3">
      <c r="D1137" s="23"/>
      <c r="AF1137" s="34"/>
      <c r="AG1137" s="34"/>
    </row>
    <row r="1138" spans="4:33" s="2" customFormat="1" ht="27" customHeight="1" x14ac:dyDescent="0.3">
      <c r="D1138" s="23"/>
      <c r="AF1138" s="34"/>
      <c r="AG1138" s="34"/>
    </row>
    <row r="1139" spans="4:33" s="2" customFormat="1" ht="27" customHeight="1" x14ac:dyDescent="0.3">
      <c r="D1139" s="23"/>
      <c r="AF1139" s="34"/>
      <c r="AG1139" s="34"/>
    </row>
    <row r="1140" spans="4:33" s="2" customFormat="1" ht="27" customHeight="1" x14ac:dyDescent="0.3">
      <c r="D1140" s="23"/>
      <c r="AF1140" s="34"/>
      <c r="AG1140" s="34"/>
    </row>
    <row r="1141" spans="4:33" s="2" customFormat="1" ht="27" customHeight="1" x14ac:dyDescent="0.3">
      <c r="D1141" s="23"/>
      <c r="AF1141" s="34"/>
      <c r="AG1141" s="34"/>
    </row>
    <row r="1142" spans="4:33" s="2" customFormat="1" ht="27" customHeight="1" x14ac:dyDescent="0.3">
      <c r="D1142" s="23"/>
      <c r="AF1142" s="34"/>
      <c r="AG1142" s="34"/>
    </row>
    <row r="1143" spans="4:33" s="2" customFormat="1" ht="27" customHeight="1" x14ac:dyDescent="0.3">
      <c r="D1143" s="23"/>
      <c r="AF1143" s="34"/>
      <c r="AG1143" s="34"/>
    </row>
    <row r="1144" spans="4:33" s="2" customFormat="1" ht="27" customHeight="1" x14ac:dyDescent="0.3">
      <c r="D1144" s="23"/>
      <c r="AF1144" s="34"/>
      <c r="AG1144" s="34"/>
    </row>
    <row r="1145" spans="4:33" s="2" customFormat="1" ht="27" customHeight="1" x14ac:dyDescent="0.3">
      <c r="D1145" s="23"/>
      <c r="AF1145" s="34"/>
      <c r="AG1145" s="34"/>
    </row>
    <row r="1146" spans="4:33" s="2" customFormat="1" ht="27" customHeight="1" x14ac:dyDescent="0.3">
      <c r="D1146" s="23"/>
      <c r="AF1146" s="34"/>
      <c r="AG1146" s="34"/>
    </row>
    <row r="1147" spans="4:33" s="2" customFormat="1" ht="27" customHeight="1" x14ac:dyDescent="0.3">
      <c r="D1147" s="23"/>
      <c r="AF1147" s="34"/>
      <c r="AG1147" s="34"/>
    </row>
    <row r="1148" spans="4:33" s="2" customFormat="1" ht="27" customHeight="1" x14ac:dyDescent="0.3">
      <c r="D1148" s="23"/>
      <c r="AF1148" s="34"/>
      <c r="AG1148" s="34"/>
    </row>
    <row r="1149" spans="4:33" s="2" customFormat="1" ht="27" customHeight="1" x14ac:dyDescent="0.3">
      <c r="D1149" s="23"/>
      <c r="AF1149" s="34"/>
      <c r="AG1149" s="34"/>
    </row>
    <row r="1150" spans="4:33" s="2" customFormat="1" ht="27" customHeight="1" x14ac:dyDescent="0.3">
      <c r="D1150" s="23"/>
      <c r="AF1150" s="34"/>
      <c r="AG1150" s="34"/>
    </row>
    <row r="1151" spans="4:33" s="2" customFormat="1" ht="27" customHeight="1" x14ac:dyDescent="0.3">
      <c r="D1151" s="23"/>
      <c r="AF1151" s="34"/>
      <c r="AG1151" s="34"/>
    </row>
    <row r="1152" spans="4:33" s="2" customFormat="1" ht="27" customHeight="1" x14ac:dyDescent="0.3">
      <c r="D1152" s="23"/>
      <c r="AF1152" s="34"/>
      <c r="AG1152" s="34"/>
    </row>
    <row r="1153" spans="4:33" s="2" customFormat="1" ht="27" customHeight="1" x14ac:dyDescent="0.3">
      <c r="D1153" s="23"/>
      <c r="AF1153" s="34"/>
      <c r="AG1153" s="34"/>
    </row>
    <row r="1154" spans="4:33" s="2" customFormat="1" ht="27" customHeight="1" x14ac:dyDescent="0.3">
      <c r="D1154" s="23"/>
      <c r="AF1154" s="34"/>
      <c r="AG1154" s="34"/>
    </row>
    <row r="1155" spans="4:33" s="2" customFormat="1" ht="27" customHeight="1" x14ac:dyDescent="0.3">
      <c r="D1155" s="23"/>
      <c r="AF1155" s="34"/>
      <c r="AG1155" s="34"/>
    </row>
    <row r="1156" spans="4:33" s="2" customFormat="1" ht="27" customHeight="1" x14ac:dyDescent="0.3">
      <c r="D1156" s="23"/>
      <c r="AF1156" s="34"/>
      <c r="AG1156" s="34"/>
    </row>
    <row r="1157" spans="4:33" s="2" customFormat="1" ht="27" customHeight="1" x14ac:dyDescent="0.3">
      <c r="D1157" s="23"/>
      <c r="AF1157" s="34"/>
      <c r="AG1157" s="34"/>
    </row>
    <row r="1158" spans="4:33" s="2" customFormat="1" ht="27" customHeight="1" x14ac:dyDescent="0.3">
      <c r="D1158" s="23"/>
      <c r="AF1158" s="34"/>
      <c r="AG1158" s="34"/>
    </row>
    <row r="1159" spans="4:33" s="2" customFormat="1" ht="27" customHeight="1" x14ac:dyDescent="0.3">
      <c r="D1159" s="23"/>
      <c r="AF1159" s="34"/>
      <c r="AG1159" s="34"/>
    </row>
    <row r="1160" spans="4:33" s="2" customFormat="1" ht="27" customHeight="1" x14ac:dyDescent="0.3">
      <c r="D1160" s="23"/>
      <c r="AF1160" s="34"/>
      <c r="AG1160" s="34"/>
    </row>
    <row r="1161" spans="4:33" s="2" customFormat="1" ht="27" customHeight="1" x14ac:dyDescent="0.3">
      <c r="D1161" s="23"/>
      <c r="AF1161" s="34"/>
      <c r="AG1161" s="34"/>
    </row>
    <row r="1162" spans="4:33" s="2" customFormat="1" ht="27" customHeight="1" x14ac:dyDescent="0.3">
      <c r="D1162" s="23"/>
      <c r="AF1162" s="34"/>
      <c r="AG1162" s="34"/>
    </row>
    <row r="1163" spans="4:33" s="2" customFormat="1" ht="27" customHeight="1" x14ac:dyDescent="0.3">
      <c r="D1163" s="23"/>
      <c r="AF1163" s="34"/>
      <c r="AG1163" s="34"/>
    </row>
    <row r="1164" spans="4:33" s="2" customFormat="1" ht="27" customHeight="1" x14ac:dyDescent="0.3">
      <c r="D1164" s="23"/>
      <c r="AF1164" s="34"/>
      <c r="AG1164" s="34"/>
    </row>
    <row r="1165" spans="4:33" s="2" customFormat="1" ht="27" customHeight="1" x14ac:dyDescent="0.3">
      <c r="D1165" s="23"/>
      <c r="AF1165" s="34"/>
      <c r="AG1165" s="34"/>
    </row>
    <row r="1166" spans="4:33" s="2" customFormat="1" ht="27" customHeight="1" x14ac:dyDescent="0.3">
      <c r="D1166" s="23"/>
      <c r="AF1166" s="34"/>
      <c r="AG1166" s="34"/>
    </row>
    <row r="1167" spans="4:33" s="2" customFormat="1" ht="27" customHeight="1" x14ac:dyDescent="0.3">
      <c r="D1167" s="23"/>
      <c r="AF1167" s="34"/>
      <c r="AG1167" s="34"/>
    </row>
    <row r="1168" spans="4:33" s="2" customFormat="1" ht="27" customHeight="1" x14ac:dyDescent="0.3">
      <c r="D1168" s="23"/>
      <c r="AF1168" s="34"/>
      <c r="AG1168" s="34"/>
    </row>
    <row r="1169" spans="4:33" s="2" customFormat="1" ht="27" customHeight="1" x14ac:dyDescent="0.3">
      <c r="D1169" s="23"/>
      <c r="AF1169" s="34"/>
      <c r="AG1169" s="34"/>
    </row>
    <row r="1170" spans="4:33" s="2" customFormat="1" ht="27" customHeight="1" x14ac:dyDescent="0.3">
      <c r="D1170" s="23"/>
      <c r="AF1170" s="34"/>
      <c r="AG1170" s="34"/>
    </row>
    <row r="1171" spans="4:33" s="2" customFormat="1" ht="27" customHeight="1" x14ac:dyDescent="0.3">
      <c r="D1171" s="23"/>
      <c r="AF1171" s="34"/>
      <c r="AG1171" s="34"/>
    </row>
    <row r="1172" spans="4:33" s="2" customFormat="1" ht="27" customHeight="1" x14ac:dyDescent="0.3">
      <c r="D1172" s="23"/>
      <c r="AF1172" s="34"/>
      <c r="AG1172" s="34"/>
    </row>
    <row r="1173" spans="4:33" s="2" customFormat="1" ht="27" customHeight="1" x14ac:dyDescent="0.3">
      <c r="D1173" s="23"/>
      <c r="AF1173" s="34"/>
      <c r="AG1173" s="34"/>
    </row>
    <row r="1174" spans="4:33" s="2" customFormat="1" ht="27" customHeight="1" x14ac:dyDescent="0.3">
      <c r="D1174" s="23"/>
      <c r="AF1174" s="34"/>
      <c r="AG1174" s="34"/>
    </row>
    <row r="1175" spans="4:33" s="2" customFormat="1" ht="27" customHeight="1" x14ac:dyDescent="0.3">
      <c r="D1175" s="23"/>
      <c r="AF1175" s="34"/>
      <c r="AG1175" s="34"/>
    </row>
    <row r="1176" spans="4:33" s="2" customFormat="1" ht="27" customHeight="1" x14ac:dyDescent="0.3">
      <c r="D1176" s="23"/>
      <c r="AF1176" s="34"/>
      <c r="AG1176" s="34"/>
    </row>
    <row r="1177" spans="4:33" s="2" customFormat="1" ht="27" customHeight="1" x14ac:dyDescent="0.3">
      <c r="D1177" s="23"/>
      <c r="AF1177" s="34"/>
      <c r="AG1177" s="34"/>
    </row>
    <row r="1178" spans="4:33" s="2" customFormat="1" ht="27" customHeight="1" x14ac:dyDescent="0.3">
      <c r="D1178" s="23"/>
      <c r="AF1178" s="34"/>
      <c r="AG1178" s="34"/>
    </row>
    <row r="1179" spans="4:33" s="2" customFormat="1" ht="27" customHeight="1" x14ac:dyDescent="0.3">
      <c r="D1179" s="23"/>
      <c r="AF1179" s="34"/>
      <c r="AG1179" s="34"/>
    </row>
    <row r="1180" spans="4:33" s="2" customFormat="1" ht="27" customHeight="1" x14ac:dyDescent="0.3">
      <c r="D1180" s="23"/>
      <c r="AF1180" s="34"/>
      <c r="AG1180" s="34"/>
    </row>
    <row r="1181" spans="4:33" s="2" customFormat="1" ht="27" customHeight="1" x14ac:dyDescent="0.3">
      <c r="D1181" s="23"/>
      <c r="AF1181" s="34"/>
      <c r="AG1181" s="34"/>
    </row>
    <row r="1182" spans="4:33" s="2" customFormat="1" ht="27" customHeight="1" x14ac:dyDescent="0.3">
      <c r="D1182" s="23"/>
      <c r="AF1182" s="34"/>
      <c r="AG1182" s="34"/>
    </row>
    <row r="1183" spans="4:33" s="2" customFormat="1" ht="27" customHeight="1" x14ac:dyDescent="0.3">
      <c r="D1183" s="23"/>
      <c r="AF1183" s="34"/>
      <c r="AG1183" s="34"/>
    </row>
    <row r="1184" spans="4:33" s="2" customFormat="1" ht="27" customHeight="1" x14ac:dyDescent="0.3">
      <c r="D1184" s="23"/>
      <c r="AF1184" s="34"/>
      <c r="AG1184" s="34"/>
    </row>
    <row r="1185" spans="4:33" s="2" customFormat="1" ht="27" customHeight="1" x14ac:dyDescent="0.3">
      <c r="D1185" s="23"/>
      <c r="AF1185" s="34"/>
      <c r="AG1185" s="34"/>
    </row>
    <row r="1186" spans="4:33" s="2" customFormat="1" ht="27" customHeight="1" x14ac:dyDescent="0.3">
      <c r="D1186" s="23"/>
      <c r="AF1186" s="34"/>
      <c r="AG1186" s="34"/>
    </row>
    <row r="1187" spans="4:33" s="2" customFormat="1" ht="27" customHeight="1" x14ac:dyDescent="0.3">
      <c r="D1187" s="23"/>
      <c r="AF1187" s="34"/>
      <c r="AG1187" s="34"/>
    </row>
    <row r="1188" spans="4:33" s="2" customFormat="1" ht="27" customHeight="1" x14ac:dyDescent="0.3">
      <c r="D1188" s="23"/>
      <c r="AF1188" s="34"/>
      <c r="AG1188" s="34"/>
    </row>
    <row r="1189" spans="4:33" s="2" customFormat="1" ht="27" customHeight="1" x14ac:dyDescent="0.3">
      <c r="D1189" s="23"/>
      <c r="AF1189" s="34"/>
      <c r="AG1189" s="34"/>
    </row>
    <row r="1190" spans="4:33" s="2" customFormat="1" ht="27" customHeight="1" x14ac:dyDescent="0.3">
      <c r="D1190" s="23"/>
      <c r="AF1190" s="34"/>
      <c r="AG1190" s="34"/>
    </row>
    <row r="1191" spans="4:33" s="2" customFormat="1" ht="27" customHeight="1" x14ac:dyDescent="0.3">
      <c r="D1191" s="23"/>
      <c r="AF1191" s="34"/>
      <c r="AG1191" s="34"/>
    </row>
    <row r="1192" spans="4:33" s="2" customFormat="1" ht="27" customHeight="1" x14ac:dyDescent="0.3">
      <c r="D1192" s="23"/>
      <c r="AF1192" s="34"/>
      <c r="AG1192" s="34"/>
    </row>
    <row r="1193" spans="4:33" s="2" customFormat="1" ht="27" customHeight="1" x14ac:dyDescent="0.3">
      <c r="D1193" s="23"/>
      <c r="AF1193" s="34"/>
      <c r="AG1193" s="34"/>
    </row>
    <row r="1194" spans="4:33" s="2" customFormat="1" ht="27" customHeight="1" x14ac:dyDescent="0.3">
      <c r="D1194" s="23"/>
      <c r="AF1194" s="34"/>
      <c r="AG1194" s="34"/>
    </row>
    <row r="1195" spans="4:33" s="2" customFormat="1" ht="27" customHeight="1" x14ac:dyDescent="0.3">
      <c r="D1195" s="23"/>
      <c r="AF1195" s="34"/>
      <c r="AG1195" s="34"/>
    </row>
    <row r="1196" spans="4:33" s="2" customFormat="1" ht="27" customHeight="1" x14ac:dyDescent="0.3">
      <c r="D1196" s="23"/>
      <c r="AF1196" s="34"/>
      <c r="AG1196" s="34"/>
    </row>
    <row r="1197" spans="4:33" s="2" customFormat="1" ht="27" customHeight="1" x14ac:dyDescent="0.3">
      <c r="D1197" s="23"/>
      <c r="AF1197" s="34"/>
      <c r="AG1197" s="34"/>
    </row>
    <row r="1198" spans="4:33" s="2" customFormat="1" ht="27" customHeight="1" x14ac:dyDescent="0.3">
      <c r="D1198" s="23"/>
      <c r="AF1198" s="34"/>
      <c r="AG1198" s="34"/>
    </row>
    <row r="1199" spans="4:33" s="2" customFormat="1" ht="27" customHeight="1" x14ac:dyDescent="0.3">
      <c r="D1199" s="23"/>
      <c r="AF1199" s="34"/>
      <c r="AG1199" s="34"/>
    </row>
    <row r="1200" spans="4:33" s="2" customFormat="1" ht="27" customHeight="1" x14ac:dyDescent="0.3">
      <c r="D1200" s="23"/>
      <c r="AF1200" s="34"/>
      <c r="AG1200" s="34"/>
    </row>
    <row r="1201" spans="4:33" s="2" customFormat="1" ht="27" customHeight="1" x14ac:dyDescent="0.3">
      <c r="D1201" s="23"/>
      <c r="AF1201" s="34"/>
      <c r="AG1201" s="34"/>
    </row>
    <row r="1202" spans="4:33" s="2" customFormat="1" ht="27" customHeight="1" x14ac:dyDescent="0.3">
      <c r="D1202" s="23"/>
      <c r="AF1202" s="34"/>
      <c r="AG1202" s="34"/>
    </row>
    <row r="1203" spans="4:33" s="2" customFormat="1" ht="27" customHeight="1" x14ac:dyDescent="0.3">
      <c r="D1203" s="23"/>
      <c r="AF1203" s="34"/>
      <c r="AG1203" s="34"/>
    </row>
    <row r="1204" spans="4:33" s="2" customFormat="1" ht="27" customHeight="1" x14ac:dyDescent="0.3">
      <c r="D1204" s="23"/>
      <c r="AF1204" s="34"/>
      <c r="AG1204" s="34"/>
    </row>
    <row r="1205" spans="4:33" s="2" customFormat="1" ht="27" customHeight="1" x14ac:dyDescent="0.3">
      <c r="D1205" s="23"/>
      <c r="AF1205" s="34"/>
      <c r="AG1205" s="34"/>
    </row>
    <row r="1206" spans="4:33" s="2" customFormat="1" ht="27" customHeight="1" x14ac:dyDescent="0.3">
      <c r="D1206" s="23"/>
      <c r="AF1206" s="34"/>
      <c r="AG1206" s="34"/>
    </row>
    <row r="1207" spans="4:33" s="2" customFormat="1" ht="27" customHeight="1" x14ac:dyDescent="0.3">
      <c r="D1207" s="23"/>
      <c r="AF1207" s="34"/>
      <c r="AG1207" s="34"/>
    </row>
    <row r="1208" spans="4:33" s="2" customFormat="1" ht="27" customHeight="1" x14ac:dyDescent="0.3">
      <c r="D1208" s="23"/>
      <c r="AF1208" s="34"/>
      <c r="AG1208" s="34"/>
    </row>
    <row r="1209" spans="4:33" s="2" customFormat="1" ht="27" customHeight="1" x14ac:dyDescent="0.3">
      <c r="D1209" s="23"/>
      <c r="AF1209" s="34"/>
      <c r="AG1209" s="34"/>
    </row>
    <row r="1210" spans="4:33" s="2" customFormat="1" ht="27" customHeight="1" x14ac:dyDescent="0.3">
      <c r="D1210" s="23"/>
      <c r="AF1210" s="34"/>
      <c r="AG1210" s="34"/>
    </row>
    <row r="1211" spans="4:33" s="2" customFormat="1" ht="27" customHeight="1" x14ac:dyDescent="0.3">
      <c r="D1211" s="23"/>
      <c r="AF1211" s="34"/>
      <c r="AG1211" s="34"/>
    </row>
    <row r="1212" spans="4:33" s="2" customFormat="1" ht="27" customHeight="1" x14ac:dyDescent="0.3">
      <c r="D1212" s="23"/>
      <c r="AF1212" s="34"/>
      <c r="AG1212" s="34"/>
    </row>
    <row r="1213" spans="4:33" s="2" customFormat="1" ht="27" customHeight="1" x14ac:dyDescent="0.3">
      <c r="D1213" s="23"/>
      <c r="AF1213" s="34"/>
      <c r="AG1213" s="34"/>
    </row>
    <row r="1214" spans="4:33" s="2" customFormat="1" ht="27" customHeight="1" x14ac:dyDescent="0.3">
      <c r="D1214" s="23"/>
      <c r="AF1214" s="34"/>
      <c r="AG1214" s="34"/>
    </row>
    <row r="1215" spans="4:33" s="2" customFormat="1" ht="27" customHeight="1" x14ac:dyDescent="0.3">
      <c r="D1215" s="23"/>
      <c r="AF1215" s="34"/>
      <c r="AG1215" s="34"/>
    </row>
    <row r="1216" spans="4:33" s="2" customFormat="1" ht="27" customHeight="1" x14ac:dyDescent="0.3">
      <c r="D1216" s="23"/>
      <c r="AF1216" s="34"/>
      <c r="AG1216" s="34"/>
    </row>
    <row r="1217" spans="4:33" s="2" customFormat="1" ht="27" customHeight="1" x14ac:dyDescent="0.3">
      <c r="D1217" s="23"/>
      <c r="AF1217" s="34"/>
      <c r="AG1217" s="34"/>
    </row>
    <row r="1218" spans="4:33" s="2" customFormat="1" ht="27" customHeight="1" x14ac:dyDescent="0.3">
      <c r="D1218" s="23"/>
      <c r="AF1218" s="34"/>
      <c r="AG1218" s="34"/>
    </row>
    <row r="1219" spans="4:33" s="2" customFormat="1" ht="27" customHeight="1" x14ac:dyDescent="0.3">
      <c r="D1219" s="23"/>
      <c r="AF1219" s="34"/>
      <c r="AG1219" s="34"/>
    </row>
    <row r="1220" spans="4:33" s="2" customFormat="1" ht="27" customHeight="1" x14ac:dyDescent="0.3">
      <c r="D1220" s="23"/>
      <c r="AF1220" s="34"/>
      <c r="AG1220" s="34"/>
    </row>
    <row r="1221" spans="4:33" s="2" customFormat="1" ht="27" customHeight="1" x14ac:dyDescent="0.3">
      <c r="D1221" s="23"/>
      <c r="AF1221" s="34"/>
      <c r="AG1221" s="34"/>
    </row>
    <row r="1222" spans="4:33" s="2" customFormat="1" ht="27" customHeight="1" x14ac:dyDescent="0.3">
      <c r="D1222" s="23"/>
      <c r="AF1222" s="34"/>
      <c r="AG1222" s="34"/>
    </row>
    <row r="1223" spans="4:33" s="2" customFormat="1" ht="27" customHeight="1" x14ac:dyDescent="0.3">
      <c r="D1223" s="23"/>
      <c r="AF1223" s="34"/>
      <c r="AG1223" s="34"/>
    </row>
    <row r="1224" spans="4:33" s="2" customFormat="1" ht="27" customHeight="1" x14ac:dyDescent="0.3">
      <c r="D1224" s="23"/>
      <c r="AF1224" s="34"/>
      <c r="AG1224" s="34"/>
    </row>
    <row r="1225" spans="4:33" s="2" customFormat="1" ht="27" customHeight="1" x14ac:dyDescent="0.3">
      <c r="D1225" s="23"/>
      <c r="AF1225" s="34"/>
      <c r="AG1225" s="34"/>
    </row>
    <row r="1226" spans="4:33" s="2" customFormat="1" ht="27" customHeight="1" x14ac:dyDescent="0.3">
      <c r="D1226" s="23"/>
      <c r="AF1226" s="34"/>
      <c r="AG1226" s="34"/>
    </row>
    <row r="1227" spans="4:33" s="2" customFormat="1" ht="27" customHeight="1" x14ac:dyDescent="0.3">
      <c r="D1227" s="23"/>
      <c r="AF1227" s="34"/>
      <c r="AG1227" s="34"/>
    </row>
    <row r="1228" spans="4:33" s="2" customFormat="1" ht="27" customHeight="1" x14ac:dyDescent="0.3">
      <c r="D1228" s="23"/>
      <c r="AF1228" s="34"/>
      <c r="AG1228" s="34"/>
    </row>
    <row r="1229" spans="4:33" s="2" customFormat="1" ht="27" customHeight="1" x14ac:dyDescent="0.3">
      <c r="D1229" s="23"/>
      <c r="AF1229" s="34"/>
      <c r="AG1229" s="34"/>
    </row>
    <row r="1230" spans="4:33" s="2" customFormat="1" ht="27" customHeight="1" x14ac:dyDescent="0.3">
      <c r="D1230" s="23"/>
      <c r="AF1230" s="34"/>
      <c r="AG1230" s="34"/>
    </row>
    <row r="1231" spans="4:33" s="2" customFormat="1" ht="27" customHeight="1" x14ac:dyDescent="0.3">
      <c r="D1231" s="23"/>
      <c r="AF1231" s="34"/>
      <c r="AG1231" s="34"/>
    </row>
    <row r="1232" spans="4:33" s="2" customFormat="1" ht="27" customHeight="1" x14ac:dyDescent="0.3">
      <c r="D1232" s="23"/>
      <c r="AF1232" s="34"/>
      <c r="AG1232" s="34"/>
    </row>
    <row r="1233" spans="4:33" s="2" customFormat="1" ht="27" customHeight="1" x14ac:dyDescent="0.3">
      <c r="D1233" s="23"/>
      <c r="AF1233" s="34"/>
      <c r="AG1233" s="34"/>
    </row>
    <row r="1234" spans="4:33" s="2" customFormat="1" ht="27" customHeight="1" x14ac:dyDescent="0.3">
      <c r="D1234" s="23"/>
      <c r="AF1234" s="34"/>
      <c r="AG1234" s="34"/>
    </row>
    <row r="1235" spans="4:33" s="2" customFormat="1" ht="27" customHeight="1" x14ac:dyDescent="0.3">
      <c r="D1235" s="23"/>
      <c r="AF1235" s="34"/>
      <c r="AG1235" s="34"/>
    </row>
    <row r="1236" spans="4:33" s="2" customFormat="1" ht="27" customHeight="1" x14ac:dyDescent="0.3">
      <c r="D1236" s="23"/>
      <c r="AF1236" s="34"/>
      <c r="AG1236" s="34"/>
    </row>
    <row r="1237" spans="4:33" s="2" customFormat="1" ht="27" customHeight="1" x14ac:dyDescent="0.3">
      <c r="D1237" s="23"/>
      <c r="AF1237" s="34"/>
      <c r="AG1237" s="34"/>
    </row>
    <row r="1238" spans="4:33" s="2" customFormat="1" ht="27" customHeight="1" x14ac:dyDescent="0.3">
      <c r="D1238" s="23"/>
      <c r="AF1238" s="34"/>
      <c r="AG1238" s="34"/>
    </row>
    <row r="1239" spans="4:33" s="2" customFormat="1" ht="27" customHeight="1" x14ac:dyDescent="0.3">
      <c r="D1239" s="23"/>
      <c r="AF1239" s="34"/>
      <c r="AG1239" s="34"/>
    </row>
    <row r="1240" spans="4:33" s="2" customFormat="1" ht="27" customHeight="1" x14ac:dyDescent="0.3">
      <c r="D1240" s="23"/>
      <c r="AF1240" s="34"/>
      <c r="AG1240" s="34"/>
    </row>
    <row r="1241" spans="4:33" s="2" customFormat="1" ht="27" customHeight="1" x14ac:dyDescent="0.3">
      <c r="D1241" s="23"/>
      <c r="AF1241" s="34"/>
      <c r="AG1241" s="34"/>
    </row>
    <row r="1242" spans="4:33" s="2" customFormat="1" ht="27" customHeight="1" x14ac:dyDescent="0.3">
      <c r="D1242" s="23"/>
      <c r="AF1242" s="34"/>
      <c r="AG1242" s="34"/>
    </row>
    <row r="1243" spans="4:33" s="2" customFormat="1" ht="27" customHeight="1" x14ac:dyDescent="0.3">
      <c r="D1243" s="23"/>
      <c r="AF1243" s="34"/>
      <c r="AG1243" s="34"/>
    </row>
    <row r="1244" spans="4:33" s="2" customFormat="1" ht="27" customHeight="1" x14ac:dyDescent="0.3">
      <c r="D1244" s="23"/>
      <c r="AF1244" s="34"/>
      <c r="AG1244" s="34"/>
    </row>
    <row r="1245" spans="4:33" s="2" customFormat="1" ht="27" customHeight="1" x14ac:dyDescent="0.3">
      <c r="D1245" s="23"/>
      <c r="AF1245" s="34"/>
      <c r="AG1245" s="34"/>
    </row>
    <row r="1246" spans="4:33" s="2" customFormat="1" ht="27" customHeight="1" x14ac:dyDescent="0.3">
      <c r="D1246" s="23"/>
      <c r="AF1246" s="34"/>
      <c r="AG1246" s="34"/>
    </row>
    <row r="1247" spans="4:33" s="2" customFormat="1" ht="27" customHeight="1" x14ac:dyDescent="0.3">
      <c r="D1247" s="23"/>
      <c r="AF1247" s="34"/>
      <c r="AG1247" s="34"/>
    </row>
    <row r="1248" spans="4:33" s="2" customFormat="1" ht="27" customHeight="1" x14ac:dyDescent="0.3">
      <c r="D1248" s="23"/>
      <c r="AF1248" s="34"/>
      <c r="AG1248" s="34"/>
    </row>
    <row r="1249" spans="4:33" s="2" customFormat="1" ht="27" customHeight="1" x14ac:dyDescent="0.3">
      <c r="D1249" s="23"/>
      <c r="AF1249" s="34"/>
      <c r="AG1249" s="34"/>
    </row>
    <row r="1250" spans="4:33" s="2" customFormat="1" ht="27" customHeight="1" x14ac:dyDescent="0.3">
      <c r="D1250" s="23"/>
      <c r="AF1250" s="34"/>
      <c r="AG1250" s="34"/>
    </row>
    <row r="1251" spans="4:33" s="2" customFormat="1" ht="27" customHeight="1" x14ac:dyDescent="0.3">
      <c r="D1251" s="23"/>
      <c r="AF1251" s="34"/>
      <c r="AG1251" s="34"/>
    </row>
    <row r="1252" spans="4:33" s="2" customFormat="1" ht="27" customHeight="1" x14ac:dyDescent="0.3">
      <c r="D1252" s="23"/>
      <c r="AF1252" s="34"/>
      <c r="AG1252" s="34"/>
    </row>
    <row r="1253" spans="4:33" s="2" customFormat="1" ht="27" customHeight="1" x14ac:dyDescent="0.3">
      <c r="D1253" s="23"/>
      <c r="AF1253" s="34"/>
      <c r="AG1253" s="34"/>
    </row>
    <row r="1254" spans="4:33" s="2" customFormat="1" ht="27" customHeight="1" x14ac:dyDescent="0.3">
      <c r="D1254" s="23"/>
      <c r="AF1254" s="34"/>
      <c r="AG1254" s="34"/>
    </row>
    <row r="1255" spans="4:33" s="2" customFormat="1" ht="27" customHeight="1" x14ac:dyDescent="0.3">
      <c r="D1255" s="23"/>
      <c r="AF1255" s="34"/>
      <c r="AG1255" s="34"/>
    </row>
    <row r="1256" spans="4:33" s="2" customFormat="1" ht="27" customHeight="1" x14ac:dyDescent="0.3">
      <c r="D1256" s="23"/>
      <c r="AF1256" s="34"/>
      <c r="AG1256" s="34"/>
    </row>
    <row r="1257" spans="4:33" s="2" customFormat="1" ht="27" customHeight="1" x14ac:dyDescent="0.3">
      <c r="D1257" s="23"/>
      <c r="AF1257" s="34"/>
      <c r="AG1257" s="34"/>
    </row>
    <row r="1258" spans="4:33" s="2" customFormat="1" ht="27" customHeight="1" x14ac:dyDescent="0.3">
      <c r="D1258" s="23"/>
      <c r="AF1258" s="34"/>
      <c r="AG1258" s="34"/>
    </row>
    <row r="1259" spans="4:33" s="2" customFormat="1" ht="27" customHeight="1" x14ac:dyDescent="0.3">
      <c r="D1259" s="23"/>
      <c r="AF1259" s="34"/>
      <c r="AG1259" s="34"/>
    </row>
    <row r="1260" spans="4:33" s="2" customFormat="1" ht="27" customHeight="1" x14ac:dyDescent="0.3">
      <c r="D1260" s="23"/>
      <c r="AF1260" s="34"/>
      <c r="AG1260" s="34"/>
    </row>
    <row r="1261" spans="4:33" s="2" customFormat="1" ht="27" customHeight="1" x14ac:dyDescent="0.3">
      <c r="D1261" s="23"/>
      <c r="AF1261" s="34"/>
      <c r="AG1261" s="34"/>
    </row>
    <row r="1262" spans="4:33" s="2" customFormat="1" ht="27" customHeight="1" x14ac:dyDescent="0.3">
      <c r="D1262" s="23"/>
      <c r="AF1262" s="34"/>
      <c r="AG1262" s="34"/>
    </row>
    <row r="1263" spans="4:33" s="2" customFormat="1" ht="27" customHeight="1" x14ac:dyDescent="0.3">
      <c r="D1263" s="23"/>
      <c r="AF1263" s="34"/>
      <c r="AG1263" s="34"/>
    </row>
    <row r="1264" spans="4:33" s="2" customFormat="1" ht="27" customHeight="1" x14ac:dyDescent="0.3">
      <c r="D1264" s="23"/>
      <c r="AF1264" s="34"/>
      <c r="AG1264" s="34"/>
    </row>
    <row r="1265" spans="4:33" s="2" customFormat="1" ht="27" customHeight="1" x14ac:dyDescent="0.3">
      <c r="D1265" s="23"/>
      <c r="AF1265" s="34"/>
      <c r="AG1265" s="34"/>
    </row>
    <row r="1266" spans="4:33" s="2" customFormat="1" ht="27" customHeight="1" x14ac:dyDescent="0.3">
      <c r="D1266" s="23"/>
      <c r="AF1266" s="34"/>
      <c r="AG1266" s="34"/>
    </row>
    <row r="1267" spans="4:33" s="2" customFormat="1" ht="27" customHeight="1" x14ac:dyDescent="0.3">
      <c r="D1267" s="23"/>
      <c r="AF1267" s="34"/>
      <c r="AG1267" s="34"/>
    </row>
    <row r="1268" spans="4:33" s="2" customFormat="1" ht="27" customHeight="1" x14ac:dyDescent="0.3">
      <c r="D1268" s="23"/>
      <c r="AF1268" s="34"/>
      <c r="AG1268" s="34"/>
    </row>
    <row r="1269" spans="4:33" s="2" customFormat="1" ht="27" customHeight="1" x14ac:dyDescent="0.3">
      <c r="D1269" s="23"/>
      <c r="AF1269" s="34"/>
      <c r="AG1269" s="34"/>
    </row>
    <row r="1270" spans="4:33" s="2" customFormat="1" ht="27" customHeight="1" x14ac:dyDescent="0.3">
      <c r="D1270" s="23"/>
      <c r="AF1270" s="34"/>
      <c r="AG1270" s="34"/>
    </row>
    <row r="1271" spans="4:33" s="2" customFormat="1" ht="27" customHeight="1" x14ac:dyDescent="0.3">
      <c r="D1271" s="23"/>
      <c r="AF1271" s="34"/>
      <c r="AG1271" s="34"/>
    </row>
    <row r="1272" spans="4:33" s="2" customFormat="1" ht="27" customHeight="1" x14ac:dyDescent="0.3">
      <c r="D1272" s="23"/>
      <c r="AF1272" s="34"/>
      <c r="AG1272" s="34"/>
    </row>
    <row r="1273" spans="4:33" s="2" customFormat="1" ht="27" customHeight="1" x14ac:dyDescent="0.3">
      <c r="D1273" s="23"/>
      <c r="AF1273" s="34"/>
      <c r="AG1273" s="34"/>
    </row>
    <row r="1274" spans="4:33" s="2" customFormat="1" ht="27" customHeight="1" x14ac:dyDescent="0.3">
      <c r="D1274" s="23"/>
      <c r="AF1274" s="34"/>
      <c r="AG1274" s="34"/>
    </row>
    <row r="1275" spans="4:33" s="2" customFormat="1" ht="27" customHeight="1" x14ac:dyDescent="0.3">
      <c r="D1275" s="23"/>
      <c r="AF1275" s="34"/>
      <c r="AG1275" s="34"/>
    </row>
    <row r="1276" spans="4:33" s="2" customFormat="1" ht="27" customHeight="1" x14ac:dyDescent="0.3">
      <c r="D1276" s="23"/>
      <c r="AF1276" s="34"/>
      <c r="AG1276" s="34"/>
    </row>
    <row r="1277" spans="4:33" s="2" customFormat="1" ht="27" customHeight="1" x14ac:dyDescent="0.3">
      <c r="D1277" s="23"/>
      <c r="AF1277" s="34"/>
      <c r="AG1277" s="34"/>
    </row>
    <row r="1278" spans="4:33" s="2" customFormat="1" ht="27" customHeight="1" x14ac:dyDescent="0.3">
      <c r="D1278" s="23"/>
      <c r="AF1278" s="34"/>
      <c r="AG1278" s="34"/>
    </row>
    <row r="1279" spans="4:33" s="2" customFormat="1" ht="27" customHeight="1" x14ac:dyDescent="0.3">
      <c r="D1279" s="23"/>
      <c r="AF1279" s="34"/>
      <c r="AG1279" s="34"/>
    </row>
    <row r="1280" spans="4:33" s="2" customFormat="1" ht="27" customHeight="1" x14ac:dyDescent="0.3">
      <c r="D1280" s="23"/>
      <c r="AF1280" s="34"/>
      <c r="AG1280" s="34"/>
    </row>
    <row r="1281" spans="4:33" s="2" customFormat="1" ht="27" customHeight="1" x14ac:dyDescent="0.3">
      <c r="D1281" s="23"/>
      <c r="AF1281" s="34"/>
      <c r="AG1281" s="34"/>
    </row>
    <row r="1282" spans="4:33" s="2" customFormat="1" ht="27" customHeight="1" x14ac:dyDescent="0.3">
      <c r="D1282" s="23"/>
      <c r="AF1282" s="34"/>
      <c r="AG1282" s="34"/>
    </row>
    <row r="1283" spans="4:33" s="2" customFormat="1" ht="27" customHeight="1" x14ac:dyDescent="0.3">
      <c r="D1283" s="23"/>
      <c r="AF1283" s="34"/>
      <c r="AG1283" s="34"/>
    </row>
    <row r="1284" spans="4:33" s="2" customFormat="1" ht="27" customHeight="1" x14ac:dyDescent="0.3">
      <c r="D1284" s="23"/>
      <c r="AF1284" s="34"/>
      <c r="AG1284" s="34"/>
    </row>
    <row r="1285" spans="4:33" s="2" customFormat="1" ht="27" customHeight="1" x14ac:dyDescent="0.3">
      <c r="D1285" s="23"/>
      <c r="AF1285" s="34"/>
      <c r="AG1285" s="34"/>
    </row>
    <row r="1286" spans="4:33" s="2" customFormat="1" ht="27" customHeight="1" x14ac:dyDescent="0.3">
      <c r="D1286" s="23"/>
      <c r="AF1286" s="34"/>
      <c r="AG1286" s="34"/>
    </row>
    <row r="1287" spans="4:33" s="2" customFormat="1" ht="27" customHeight="1" x14ac:dyDescent="0.3">
      <c r="D1287" s="23"/>
      <c r="AF1287" s="34"/>
      <c r="AG1287" s="34"/>
    </row>
    <row r="1288" spans="4:33" s="2" customFormat="1" ht="27" customHeight="1" x14ac:dyDescent="0.3">
      <c r="D1288" s="23"/>
      <c r="AF1288" s="34"/>
      <c r="AG1288" s="34"/>
    </row>
    <row r="1289" spans="4:33" s="2" customFormat="1" ht="27" customHeight="1" x14ac:dyDescent="0.3">
      <c r="D1289" s="23"/>
      <c r="AF1289" s="34"/>
      <c r="AG1289" s="34"/>
    </row>
    <row r="1290" spans="4:33" s="2" customFormat="1" ht="27" customHeight="1" x14ac:dyDescent="0.3">
      <c r="D1290" s="23"/>
      <c r="AF1290" s="34"/>
      <c r="AG1290" s="34"/>
    </row>
    <row r="1291" spans="4:33" s="2" customFormat="1" ht="27" customHeight="1" x14ac:dyDescent="0.3">
      <c r="D1291" s="23"/>
      <c r="AF1291" s="34"/>
      <c r="AG1291" s="34"/>
    </row>
    <row r="1292" spans="4:33" s="2" customFormat="1" ht="27" customHeight="1" x14ac:dyDescent="0.3">
      <c r="D1292" s="23"/>
      <c r="AF1292" s="34"/>
      <c r="AG1292" s="34"/>
    </row>
    <row r="1293" spans="4:33" s="2" customFormat="1" ht="27" customHeight="1" x14ac:dyDescent="0.3">
      <c r="D1293" s="23"/>
      <c r="AF1293" s="34"/>
      <c r="AG1293" s="34"/>
    </row>
    <row r="1294" spans="4:33" s="2" customFormat="1" ht="27" customHeight="1" x14ac:dyDescent="0.3">
      <c r="D1294" s="23"/>
      <c r="AF1294" s="34"/>
      <c r="AG1294" s="34"/>
    </row>
    <row r="1295" spans="4:33" s="2" customFormat="1" ht="27" customHeight="1" x14ac:dyDescent="0.3">
      <c r="D1295" s="23"/>
      <c r="AF1295" s="34"/>
      <c r="AG1295" s="34"/>
    </row>
    <row r="1296" spans="4:33" s="2" customFormat="1" ht="27" customHeight="1" x14ac:dyDescent="0.3">
      <c r="D1296" s="23"/>
      <c r="AF1296" s="34"/>
      <c r="AG1296" s="34"/>
    </row>
    <row r="1297" spans="4:33" s="2" customFormat="1" ht="27" customHeight="1" x14ac:dyDescent="0.3">
      <c r="D1297" s="23"/>
      <c r="AF1297" s="34"/>
      <c r="AG1297" s="34"/>
    </row>
    <row r="1298" spans="4:33" s="2" customFormat="1" ht="27" customHeight="1" x14ac:dyDescent="0.3">
      <c r="D1298" s="23"/>
      <c r="AF1298" s="34"/>
      <c r="AG1298" s="34"/>
    </row>
    <row r="1299" spans="4:33" s="2" customFormat="1" ht="27" customHeight="1" x14ac:dyDescent="0.3">
      <c r="D1299" s="23"/>
      <c r="AF1299" s="34"/>
      <c r="AG1299" s="34"/>
    </row>
    <row r="1300" spans="4:33" s="2" customFormat="1" ht="27" customHeight="1" x14ac:dyDescent="0.3">
      <c r="D1300" s="23"/>
      <c r="AF1300" s="34"/>
      <c r="AG1300" s="34"/>
    </row>
    <row r="1301" spans="4:33" s="2" customFormat="1" ht="27" customHeight="1" x14ac:dyDescent="0.3">
      <c r="D1301" s="23"/>
      <c r="AF1301" s="34"/>
      <c r="AG1301" s="34"/>
    </row>
    <row r="1302" spans="4:33" s="2" customFormat="1" ht="27" customHeight="1" x14ac:dyDescent="0.3">
      <c r="D1302" s="23"/>
      <c r="AF1302" s="34"/>
      <c r="AG1302" s="34"/>
    </row>
    <row r="1303" spans="4:33" s="2" customFormat="1" ht="27" customHeight="1" x14ac:dyDescent="0.3">
      <c r="D1303" s="23"/>
      <c r="AF1303" s="34"/>
      <c r="AG1303" s="34"/>
    </row>
    <row r="1304" spans="4:33" s="2" customFormat="1" ht="27" customHeight="1" x14ac:dyDescent="0.3">
      <c r="D1304" s="23"/>
      <c r="AF1304" s="34"/>
      <c r="AG1304" s="34"/>
    </row>
    <row r="1305" spans="4:33" s="2" customFormat="1" ht="27" customHeight="1" x14ac:dyDescent="0.3">
      <c r="D1305" s="23"/>
      <c r="AF1305" s="34"/>
      <c r="AG1305" s="34"/>
    </row>
    <row r="1306" spans="4:33" s="2" customFormat="1" ht="27" customHeight="1" x14ac:dyDescent="0.3">
      <c r="D1306" s="23"/>
      <c r="AF1306" s="34"/>
      <c r="AG1306" s="34"/>
    </row>
    <row r="1307" spans="4:33" s="2" customFormat="1" ht="27" customHeight="1" x14ac:dyDescent="0.3">
      <c r="D1307" s="23"/>
      <c r="AF1307" s="34"/>
      <c r="AG1307" s="34"/>
    </row>
    <row r="1308" spans="4:33" s="2" customFormat="1" ht="27" customHeight="1" x14ac:dyDescent="0.3">
      <c r="D1308" s="23"/>
      <c r="AF1308" s="34"/>
      <c r="AG1308" s="34"/>
    </row>
    <row r="1309" spans="4:33" s="2" customFormat="1" ht="27" customHeight="1" x14ac:dyDescent="0.3">
      <c r="D1309" s="23"/>
      <c r="AF1309" s="34"/>
      <c r="AG1309" s="34"/>
    </row>
    <row r="1310" spans="4:33" s="2" customFormat="1" ht="27" customHeight="1" x14ac:dyDescent="0.3">
      <c r="D1310" s="23"/>
      <c r="AF1310" s="34"/>
      <c r="AG1310" s="34"/>
    </row>
    <row r="1311" spans="4:33" s="2" customFormat="1" ht="27" customHeight="1" x14ac:dyDescent="0.3">
      <c r="D1311" s="23"/>
      <c r="AF1311" s="34"/>
      <c r="AG1311" s="34"/>
    </row>
    <row r="1312" spans="4:33" s="2" customFormat="1" ht="27" customHeight="1" x14ac:dyDescent="0.3">
      <c r="D1312" s="23"/>
      <c r="AF1312" s="34"/>
      <c r="AG1312" s="34"/>
    </row>
    <row r="1313" spans="4:33" s="2" customFormat="1" ht="27" customHeight="1" x14ac:dyDescent="0.3">
      <c r="D1313" s="23"/>
      <c r="AF1313" s="34"/>
      <c r="AG1313" s="34"/>
    </row>
    <row r="1314" spans="4:33" s="2" customFormat="1" ht="27" customHeight="1" x14ac:dyDescent="0.3">
      <c r="D1314" s="23"/>
      <c r="AF1314" s="34"/>
      <c r="AG1314" s="34"/>
    </row>
    <row r="1315" spans="4:33" s="2" customFormat="1" ht="27" customHeight="1" x14ac:dyDescent="0.3">
      <c r="D1315" s="23"/>
      <c r="AF1315" s="34"/>
      <c r="AG1315" s="34"/>
    </row>
    <row r="1316" spans="4:33" s="2" customFormat="1" ht="27" customHeight="1" x14ac:dyDescent="0.3">
      <c r="D1316" s="23"/>
      <c r="AF1316" s="34"/>
      <c r="AG1316" s="34"/>
    </row>
    <row r="1317" spans="4:33" s="2" customFormat="1" ht="27" customHeight="1" x14ac:dyDescent="0.3">
      <c r="D1317" s="23"/>
      <c r="AF1317" s="34"/>
      <c r="AG1317" s="34"/>
    </row>
    <row r="1318" spans="4:33" s="2" customFormat="1" ht="27" customHeight="1" x14ac:dyDescent="0.3">
      <c r="D1318" s="23"/>
      <c r="AF1318" s="34"/>
      <c r="AG1318" s="34"/>
    </row>
    <row r="1319" spans="4:33" s="2" customFormat="1" ht="27" customHeight="1" x14ac:dyDescent="0.3">
      <c r="D1319" s="23"/>
      <c r="AF1319" s="34"/>
      <c r="AG1319" s="34"/>
    </row>
    <row r="1320" spans="4:33" s="2" customFormat="1" ht="27" customHeight="1" x14ac:dyDescent="0.3">
      <c r="D1320" s="23"/>
      <c r="AF1320" s="34"/>
      <c r="AG1320" s="34"/>
    </row>
    <row r="1321" spans="4:33" s="2" customFormat="1" ht="27" customHeight="1" x14ac:dyDescent="0.3">
      <c r="D1321" s="23"/>
      <c r="AF1321" s="34"/>
      <c r="AG1321" s="34"/>
    </row>
    <row r="1322" spans="4:33" s="2" customFormat="1" ht="27" customHeight="1" x14ac:dyDescent="0.3">
      <c r="D1322" s="23"/>
      <c r="AF1322" s="34"/>
      <c r="AG1322" s="34"/>
    </row>
    <row r="1323" spans="4:33" s="2" customFormat="1" ht="27" customHeight="1" x14ac:dyDescent="0.3">
      <c r="D1323" s="23"/>
      <c r="AF1323" s="34"/>
      <c r="AG1323" s="34"/>
    </row>
    <row r="1324" spans="4:33" s="2" customFormat="1" ht="27" customHeight="1" x14ac:dyDescent="0.3">
      <c r="D1324" s="23"/>
      <c r="AF1324" s="34"/>
      <c r="AG1324" s="34"/>
    </row>
    <row r="1325" spans="4:33" s="2" customFormat="1" ht="27" customHeight="1" x14ac:dyDescent="0.3">
      <c r="D1325" s="23"/>
      <c r="AF1325" s="34"/>
      <c r="AG1325" s="34"/>
    </row>
    <row r="1326" spans="4:33" s="2" customFormat="1" ht="27" customHeight="1" x14ac:dyDescent="0.3">
      <c r="D1326" s="23"/>
      <c r="AF1326" s="34"/>
      <c r="AG1326" s="34"/>
    </row>
    <row r="1327" spans="4:33" s="2" customFormat="1" ht="27" customHeight="1" x14ac:dyDescent="0.3">
      <c r="D1327" s="23"/>
      <c r="AF1327" s="34"/>
      <c r="AG1327" s="34"/>
    </row>
    <row r="1328" spans="4:33" s="2" customFormat="1" ht="27" customHeight="1" x14ac:dyDescent="0.3">
      <c r="D1328" s="23"/>
      <c r="AF1328" s="34"/>
      <c r="AG1328" s="34"/>
    </row>
    <row r="1329" spans="4:33" s="2" customFormat="1" ht="27" customHeight="1" x14ac:dyDescent="0.3">
      <c r="D1329" s="23"/>
      <c r="AF1329" s="34"/>
      <c r="AG1329" s="34"/>
    </row>
    <row r="1330" spans="4:33" s="2" customFormat="1" ht="27" customHeight="1" x14ac:dyDescent="0.3">
      <c r="D1330" s="23"/>
      <c r="AF1330" s="34"/>
      <c r="AG1330" s="34"/>
    </row>
    <row r="1331" spans="4:33" s="2" customFormat="1" ht="27" customHeight="1" x14ac:dyDescent="0.3">
      <c r="D1331" s="23"/>
      <c r="AF1331" s="34"/>
      <c r="AG1331" s="34"/>
    </row>
    <row r="1332" spans="4:33" s="2" customFormat="1" ht="27" customHeight="1" x14ac:dyDescent="0.3">
      <c r="D1332" s="23"/>
      <c r="AF1332" s="34"/>
      <c r="AG1332" s="34"/>
    </row>
    <row r="1333" spans="4:33" s="2" customFormat="1" ht="27" customHeight="1" x14ac:dyDescent="0.3">
      <c r="D1333" s="23"/>
      <c r="AF1333" s="34"/>
      <c r="AG1333" s="34"/>
    </row>
    <row r="1334" spans="4:33" s="2" customFormat="1" ht="27" customHeight="1" x14ac:dyDescent="0.3">
      <c r="D1334" s="23"/>
      <c r="AF1334" s="34"/>
      <c r="AG1334" s="34"/>
    </row>
    <row r="1335" spans="4:33" s="2" customFormat="1" ht="27" customHeight="1" x14ac:dyDescent="0.3">
      <c r="D1335" s="23"/>
      <c r="AF1335" s="34"/>
      <c r="AG1335" s="34"/>
    </row>
    <row r="1336" spans="4:33" s="2" customFormat="1" ht="27" customHeight="1" x14ac:dyDescent="0.3">
      <c r="D1336" s="23"/>
      <c r="AF1336" s="34"/>
      <c r="AG1336" s="34"/>
    </row>
    <row r="1337" spans="4:33" s="2" customFormat="1" ht="27" customHeight="1" x14ac:dyDescent="0.3">
      <c r="D1337" s="23"/>
      <c r="AF1337" s="34"/>
      <c r="AG1337" s="34"/>
    </row>
    <row r="1338" spans="4:33" s="2" customFormat="1" ht="27" customHeight="1" x14ac:dyDescent="0.3">
      <c r="D1338" s="23"/>
      <c r="AF1338" s="34"/>
      <c r="AG1338" s="34"/>
    </row>
    <row r="1339" spans="4:33" s="2" customFormat="1" ht="27" customHeight="1" x14ac:dyDescent="0.3">
      <c r="D1339" s="23"/>
      <c r="AF1339" s="34"/>
      <c r="AG1339" s="34"/>
    </row>
    <row r="1340" spans="4:33" s="2" customFormat="1" ht="27" customHeight="1" x14ac:dyDescent="0.3">
      <c r="D1340" s="23"/>
      <c r="AF1340" s="34"/>
      <c r="AG1340" s="34"/>
    </row>
    <row r="1341" spans="4:33" s="2" customFormat="1" ht="27" customHeight="1" x14ac:dyDescent="0.3">
      <c r="D1341" s="23"/>
      <c r="AF1341" s="34"/>
      <c r="AG1341" s="34"/>
    </row>
    <row r="1342" spans="4:33" s="2" customFormat="1" ht="27" customHeight="1" x14ac:dyDescent="0.3">
      <c r="D1342" s="23"/>
      <c r="AF1342" s="34"/>
      <c r="AG1342" s="34"/>
    </row>
    <row r="1343" spans="4:33" s="2" customFormat="1" ht="27" customHeight="1" x14ac:dyDescent="0.3">
      <c r="D1343" s="23"/>
      <c r="AF1343" s="34"/>
      <c r="AG1343" s="34"/>
    </row>
    <row r="1344" spans="4:33" s="2" customFormat="1" ht="27" customHeight="1" x14ac:dyDescent="0.3">
      <c r="D1344" s="23"/>
      <c r="AF1344" s="34"/>
      <c r="AG1344" s="34"/>
    </row>
    <row r="1345" spans="4:33" s="2" customFormat="1" ht="27" customHeight="1" x14ac:dyDescent="0.3">
      <c r="D1345" s="23"/>
      <c r="AF1345" s="34"/>
      <c r="AG1345" s="34"/>
    </row>
    <row r="1346" spans="4:33" s="2" customFormat="1" ht="27" customHeight="1" x14ac:dyDescent="0.3">
      <c r="D1346" s="23"/>
      <c r="AF1346" s="34"/>
      <c r="AG1346" s="34"/>
    </row>
    <row r="1347" spans="4:33" s="2" customFormat="1" ht="27" customHeight="1" x14ac:dyDescent="0.3">
      <c r="D1347" s="23"/>
      <c r="AF1347" s="34"/>
      <c r="AG1347" s="34"/>
    </row>
    <row r="1348" spans="4:33" s="2" customFormat="1" ht="27" customHeight="1" x14ac:dyDescent="0.3">
      <c r="D1348" s="23"/>
      <c r="AF1348" s="34"/>
      <c r="AG1348" s="34"/>
    </row>
    <row r="1349" spans="4:33" s="2" customFormat="1" ht="27" customHeight="1" x14ac:dyDescent="0.3">
      <c r="D1349" s="23"/>
      <c r="AF1349" s="34"/>
      <c r="AG1349" s="34"/>
    </row>
    <row r="1350" spans="4:33" s="2" customFormat="1" ht="27" customHeight="1" x14ac:dyDescent="0.3">
      <c r="D1350" s="23"/>
      <c r="AF1350" s="34"/>
      <c r="AG1350" s="34"/>
    </row>
    <row r="1351" spans="4:33" s="2" customFormat="1" ht="27" customHeight="1" x14ac:dyDescent="0.3">
      <c r="D1351" s="23"/>
      <c r="AF1351" s="34"/>
      <c r="AG1351" s="34"/>
    </row>
    <row r="1352" spans="4:33" s="2" customFormat="1" ht="27" customHeight="1" x14ac:dyDescent="0.3">
      <c r="D1352" s="23"/>
      <c r="AF1352" s="34"/>
      <c r="AG1352" s="34"/>
    </row>
    <row r="1353" spans="4:33" s="2" customFormat="1" ht="27" customHeight="1" x14ac:dyDescent="0.3">
      <c r="D1353" s="23"/>
      <c r="AF1353" s="34"/>
      <c r="AG1353" s="34"/>
    </row>
    <row r="1354" spans="4:33" s="2" customFormat="1" ht="27" customHeight="1" x14ac:dyDescent="0.3">
      <c r="D1354" s="23"/>
      <c r="AF1354" s="34"/>
      <c r="AG1354" s="34"/>
    </row>
    <row r="1355" spans="4:33" s="2" customFormat="1" ht="27" customHeight="1" x14ac:dyDescent="0.3">
      <c r="D1355" s="23"/>
      <c r="AF1355" s="34"/>
      <c r="AG1355" s="34"/>
    </row>
    <row r="1356" spans="4:33" s="2" customFormat="1" ht="27" customHeight="1" x14ac:dyDescent="0.3">
      <c r="D1356" s="23"/>
      <c r="AF1356" s="34"/>
      <c r="AG1356" s="34"/>
    </row>
    <row r="1357" spans="4:33" s="2" customFormat="1" ht="27" customHeight="1" x14ac:dyDescent="0.3">
      <c r="D1357" s="23"/>
      <c r="AF1357" s="34"/>
      <c r="AG1357" s="34"/>
    </row>
    <row r="1358" spans="4:33" s="2" customFormat="1" ht="27" customHeight="1" x14ac:dyDescent="0.3">
      <c r="D1358" s="23"/>
      <c r="AF1358" s="34"/>
      <c r="AG1358" s="34"/>
    </row>
    <row r="1359" spans="4:33" s="2" customFormat="1" ht="27" customHeight="1" x14ac:dyDescent="0.3">
      <c r="D1359" s="23"/>
      <c r="AF1359" s="34"/>
      <c r="AG1359" s="34"/>
    </row>
    <row r="1360" spans="4:33" s="2" customFormat="1" ht="27" customHeight="1" x14ac:dyDescent="0.3">
      <c r="D1360" s="23"/>
      <c r="AF1360" s="34"/>
      <c r="AG1360" s="34"/>
    </row>
    <row r="1361" spans="4:33" s="2" customFormat="1" ht="27" customHeight="1" x14ac:dyDescent="0.3">
      <c r="D1361" s="23"/>
      <c r="AF1361" s="34"/>
      <c r="AG1361" s="34"/>
    </row>
    <row r="1362" spans="4:33" s="2" customFormat="1" ht="27" customHeight="1" x14ac:dyDescent="0.3">
      <c r="D1362" s="23"/>
      <c r="AF1362" s="34"/>
      <c r="AG1362" s="34"/>
    </row>
    <row r="1363" spans="4:33" s="2" customFormat="1" ht="27" customHeight="1" x14ac:dyDescent="0.3">
      <c r="D1363" s="23"/>
      <c r="AF1363" s="34"/>
      <c r="AG1363" s="34"/>
    </row>
    <row r="1364" spans="4:33" s="2" customFormat="1" ht="27" customHeight="1" x14ac:dyDescent="0.3">
      <c r="D1364" s="23"/>
      <c r="AF1364" s="34"/>
      <c r="AG1364" s="34"/>
    </row>
    <row r="1365" spans="4:33" s="2" customFormat="1" ht="27" customHeight="1" x14ac:dyDescent="0.3">
      <c r="D1365" s="23"/>
      <c r="AF1365" s="34"/>
      <c r="AG1365" s="34"/>
    </row>
    <row r="1366" spans="4:33" s="2" customFormat="1" ht="27" customHeight="1" x14ac:dyDescent="0.3">
      <c r="D1366" s="23"/>
      <c r="AF1366" s="34"/>
      <c r="AG1366" s="34"/>
    </row>
    <row r="1367" spans="4:33" s="2" customFormat="1" ht="27" customHeight="1" x14ac:dyDescent="0.3">
      <c r="D1367" s="23"/>
      <c r="AF1367" s="34"/>
      <c r="AG1367" s="34"/>
    </row>
    <row r="1368" spans="4:33" s="2" customFormat="1" ht="27" customHeight="1" x14ac:dyDescent="0.3">
      <c r="D1368" s="23"/>
      <c r="AF1368" s="34"/>
      <c r="AG1368" s="34"/>
    </row>
    <row r="1369" spans="4:33" s="2" customFormat="1" ht="27" customHeight="1" x14ac:dyDescent="0.3">
      <c r="D1369" s="23"/>
      <c r="AF1369" s="34"/>
      <c r="AG1369" s="34"/>
    </row>
    <row r="1370" spans="4:33" s="2" customFormat="1" ht="27" customHeight="1" x14ac:dyDescent="0.3">
      <c r="D1370" s="23"/>
      <c r="AF1370" s="34"/>
      <c r="AG1370" s="34"/>
    </row>
    <row r="1371" spans="4:33" s="2" customFormat="1" ht="27" customHeight="1" x14ac:dyDescent="0.3">
      <c r="D1371" s="23"/>
      <c r="AF1371" s="34"/>
      <c r="AG1371" s="34"/>
    </row>
    <row r="1372" spans="4:33" s="2" customFormat="1" ht="27" customHeight="1" x14ac:dyDescent="0.3">
      <c r="D1372" s="23"/>
      <c r="AF1372" s="34"/>
      <c r="AG1372" s="34"/>
    </row>
    <row r="1373" spans="4:33" s="2" customFormat="1" ht="27" customHeight="1" x14ac:dyDescent="0.3">
      <c r="D1373" s="23"/>
      <c r="AF1373" s="34"/>
      <c r="AG1373" s="34"/>
    </row>
    <row r="1374" spans="4:33" s="2" customFormat="1" ht="27" customHeight="1" x14ac:dyDescent="0.3">
      <c r="D1374" s="23"/>
      <c r="AF1374" s="34"/>
      <c r="AG1374" s="34"/>
    </row>
    <row r="1375" spans="4:33" s="2" customFormat="1" ht="27" customHeight="1" x14ac:dyDescent="0.3">
      <c r="D1375" s="23"/>
      <c r="AF1375" s="34"/>
      <c r="AG1375" s="34"/>
    </row>
    <row r="1376" spans="4:33" s="2" customFormat="1" ht="27" customHeight="1" x14ac:dyDescent="0.3">
      <c r="D1376" s="23"/>
      <c r="AF1376" s="34"/>
      <c r="AG1376" s="34"/>
    </row>
    <row r="1377" spans="4:33" s="2" customFormat="1" ht="27" customHeight="1" x14ac:dyDescent="0.3">
      <c r="D1377" s="23"/>
      <c r="AF1377" s="34"/>
      <c r="AG1377" s="34"/>
    </row>
    <row r="1378" spans="4:33" s="2" customFormat="1" ht="27" customHeight="1" x14ac:dyDescent="0.3">
      <c r="D1378" s="23"/>
      <c r="AF1378" s="34"/>
      <c r="AG1378" s="34"/>
    </row>
    <row r="1379" spans="4:33" s="2" customFormat="1" ht="27" customHeight="1" x14ac:dyDescent="0.3">
      <c r="D1379" s="23"/>
      <c r="AF1379" s="34"/>
      <c r="AG1379" s="34"/>
    </row>
    <row r="1380" spans="4:33" s="2" customFormat="1" ht="27" customHeight="1" x14ac:dyDescent="0.3">
      <c r="D1380" s="23"/>
      <c r="AF1380" s="34"/>
      <c r="AG1380" s="34"/>
    </row>
    <row r="1381" spans="4:33" s="2" customFormat="1" ht="27" customHeight="1" x14ac:dyDescent="0.3">
      <c r="D1381" s="23"/>
      <c r="AF1381" s="34"/>
      <c r="AG1381" s="34"/>
    </row>
    <row r="1382" spans="4:33" s="2" customFormat="1" ht="27" customHeight="1" x14ac:dyDescent="0.3">
      <c r="D1382" s="23"/>
      <c r="AF1382" s="34"/>
      <c r="AG1382" s="34"/>
    </row>
    <row r="1383" spans="4:33" s="2" customFormat="1" ht="27" customHeight="1" x14ac:dyDescent="0.3">
      <c r="D1383" s="23"/>
      <c r="AF1383" s="34"/>
      <c r="AG1383" s="34"/>
    </row>
    <row r="1384" spans="4:33" s="2" customFormat="1" ht="27" customHeight="1" x14ac:dyDescent="0.3">
      <c r="D1384" s="23"/>
      <c r="AF1384" s="34"/>
      <c r="AG1384" s="34"/>
    </row>
    <row r="1385" spans="4:33" s="2" customFormat="1" ht="27" customHeight="1" x14ac:dyDescent="0.3">
      <c r="D1385" s="23"/>
      <c r="AF1385" s="34"/>
      <c r="AG1385" s="34"/>
    </row>
    <row r="1386" spans="4:33" s="2" customFormat="1" ht="27" customHeight="1" x14ac:dyDescent="0.3">
      <c r="D1386" s="23"/>
      <c r="AF1386" s="34"/>
      <c r="AG1386" s="34"/>
    </row>
    <row r="1387" spans="4:33" s="2" customFormat="1" ht="27" customHeight="1" x14ac:dyDescent="0.3">
      <c r="D1387" s="23"/>
      <c r="AF1387" s="34"/>
      <c r="AG1387" s="34"/>
    </row>
    <row r="1388" spans="4:33" s="2" customFormat="1" ht="27" customHeight="1" x14ac:dyDescent="0.3">
      <c r="D1388" s="23"/>
      <c r="AF1388" s="34"/>
      <c r="AG1388" s="34"/>
    </row>
    <row r="1389" spans="4:33" s="2" customFormat="1" ht="27" customHeight="1" x14ac:dyDescent="0.3">
      <c r="D1389" s="23"/>
      <c r="AF1389" s="34"/>
      <c r="AG1389" s="34"/>
    </row>
    <row r="1390" spans="4:33" s="2" customFormat="1" ht="27" customHeight="1" x14ac:dyDescent="0.3">
      <c r="D1390" s="23"/>
      <c r="AF1390" s="34"/>
      <c r="AG1390" s="34"/>
    </row>
    <row r="1391" spans="4:33" s="2" customFormat="1" ht="27" customHeight="1" x14ac:dyDescent="0.3">
      <c r="D1391" s="23"/>
      <c r="AF1391" s="34"/>
      <c r="AG1391" s="34"/>
    </row>
    <row r="1392" spans="4:33" s="2" customFormat="1" ht="27" customHeight="1" x14ac:dyDescent="0.3">
      <c r="D1392" s="23"/>
      <c r="AF1392" s="34"/>
      <c r="AG1392" s="34"/>
    </row>
    <row r="1393" spans="4:33" s="2" customFormat="1" ht="27" customHeight="1" x14ac:dyDescent="0.3">
      <c r="D1393" s="23"/>
      <c r="AF1393" s="34"/>
      <c r="AG1393" s="34"/>
    </row>
    <row r="1394" spans="4:33" s="2" customFormat="1" ht="27" customHeight="1" x14ac:dyDescent="0.3">
      <c r="D1394" s="23"/>
      <c r="AF1394" s="34"/>
      <c r="AG1394" s="34"/>
    </row>
    <row r="1395" spans="4:33" s="2" customFormat="1" ht="27" customHeight="1" x14ac:dyDescent="0.3">
      <c r="D1395" s="23"/>
      <c r="AF1395" s="34"/>
      <c r="AG1395" s="34"/>
    </row>
    <row r="1396" spans="4:33" s="2" customFormat="1" ht="27" customHeight="1" x14ac:dyDescent="0.3">
      <c r="D1396" s="23"/>
      <c r="AF1396" s="34"/>
      <c r="AG1396" s="34"/>
    </row>
    <row r="1397" spans="4:33" s="2" customFormat="1" ht="27" customHeight="1" x14ac:dyDescent="0.3">
      <c r="D1397" s="23"/>
      <c r="AF1397" s="34"/>
      <c r="AG1397" s="34"/>
    </row>
    <row r="1398" spans="4:33" s="2" customFormat="1" ht="27" customHeight="1" x14ac:dyDescent="0.3">
      <c r="D1398" s="23"/>
      <c r="AF1398" s="34"/>
      <c r="AG1398" s="34"/>
    </row>
    <row r="1399" spans="4:33" s="2" customFormat="1" ht="27" customHeight="1" x14ac:dyDescent="0.3">
      <c r="D1399" s="23"/>
      <c r="AF1399" s="34"/>
      <c r="AG1399" s="34"/>
    </row>
    <row r="1400" spans="4:33" s="2" customFormat="1" ht="27" customHeight="1" x14ac:dyDescent="0.3">
      <c r="D1400" s="23"/>
      <c r="AF1400" s="34"/>
      <c r="AG1400" s="34"/>
    </row>
    <row r="1401" spans="4:33" s="2" customFormat="1" ht="27" customHeight="1" x14ac:dyDescent="0.3">
      <c r="D1401" s="23"/>
      <c r="AF1401" s="34"/>
      <c r="AG1401" s="34"/>
    </row>
    <row r="1402" spans="4:33" s="2" customFormat="1" ht="27" customHeight="1" x14ac:dyDescent="0.3">
      <c r="D1402" s="23"/>
      <c r="AF1402" s="34"/>
      <c r="AG1402" s="34"/>
    </row>
    <row r="1403" spans="4:33" s="2" customFormat="1" ht="27" customHeight="1" x14ac:dyDescent="0.3">
      <c r="D1403" s="23"/>
      <c r="AF1403" s="34"/>
      <c r="AG1403" s="34"/>
    </row>
    <row r="1404" spans="4:33" s="2" customFormat="1" ht="27" customHeight="1" x14ac:dyDescent="0.3">
      <c r="D1404" s="23"/>
      <c r="AF1404" s="34"/>
      <c r="AG1404" s="34"/>
    </row>
    <row r="1405" spans="4:33" s="2" customFormat="1" ht="27" customHeight="1" x14ac:dyDescent="0.3">
      <c r="D1405" s="23"/>
      <c r="AF1405" s="34"/>
      <c r="AG1405" s="34"/>
    </row>
    <row r="1406" spans="4:33" s="2" customFormat="1" ht="27" customHeight="1" x14ac:dyDescent="0.3">
      <c r="D1406" s="23"/>
      <c r="AF1406" s="34"/>
      <c r="AG1406" s="34"/>
    </row>
    <row r="1407" spans="4:33" s="2" customFormat="1" ht="27" customHeight="1" x14ac:dyDescent="0.3">
      <c r="D1407" s="23"/>
      <c r="AF1407" s="34"/>
      <c r="AG1407" s="34"/>
    </row>
    <row r="1408" spans="4:33" s="2" customFormat="1" ht="27" customHeight="1" x14ac:dyDescent="0.3">
      <c r="D1408" s="23"/>
      <c r="AF1408" s="34"/>
      <c r="AG1408" s="34"/>
    </row>
    <row r="1409" spans="4:33" s="2" customFormat="1" ht="27" customHeight="1" x14ac:dyDescent="0.3">
      <c r="D1409" s="23"/>
      <c r="AF1409" s="34"/>
      <c r="AG1409" s="34"/>
    </row>
    <row r="1410" spans="4:33" s="2" customFormat="1" ht="27" customHeight="1" x14ac:dyDescent="0.3">
      <c r="D1410" s="23"/>
      <c r="AF1410" s="34"/>
      <c r="AG1410" s="34"/>
    </row>
    <row r="1411" spans="4:33" s="2" customFormat="1" ht="27" customHeight="1" x14ac:dyDescent="0.3">
      <c r="D1411" s="23"/>
      <c r="AF1411" s="34"/>
      <c r="AG1411" s="34"/>
    </row>
    <row r="1412" spans="4:33" s="2" customFormat="1" ht="27" customHeight="1" x14ac:dyDescent="0.3">
      <c r="D1412" s="23"/>
      <c r="AF1412" s="34"/>
      <c r="AG1412" s="34"/>
    </row>
    <row r="1413" spans="4:33" s="2" customFormat="1" ht="27" customHeight="1" x14ac:dyDescent="0.3">
      <c r="D1413" s="23"/>
      <c r="AF1413" s="34"/>
      <c r="AG1413" s="34"/>
    </row>
    <row r="1414" spans="4:33" s="2" customFormat="1" ht="27" customHeight="1" x14ac:dyDescent="0.3">
      <c r="D1414" s="23"/>
      <c r="AF1414" s="34"/>
      <c r="AG1414" s="34"/>
    </row>
    <row r="1415" spans="4:33" s="2" customFormat="1" ht="27" customHeight="1" x14ac:dyDescent="0.3">
      <c r="D1415" s="23"/>
      <c r="AF1415" s="34"/>
      <c r="AG1415" s="34"/>
    </row>
    <row r="1416" spans="4:33" s="2" customFormat="1" ht="27" customHeight="1" x14ac:dyDescent="0.3">
      <c r="D1416" s="23"/>
      <c r="AF1416" s="34"/>
      <c r="AG1416" s="34"/>
    </row>
    <row r="1417" spans="4:33" s="2" customFormat="1" ht="27" customHeight="1" x14ac:dyDescent="0.3">
      <c r="D1417" s="23"/>
      <c r="AF1417" s="34"/>
      <c r="AG1417" s="34"/>
    </row>
    <row r="1418" spans="4:33" s="2" customFormat="1" ht="27" customHeight="1" x14ac:dyDescent="0.3">
      <c r="D1418" s="23"/>
      <c r="AF1418" s="34"/>
      <c r="AG1418" s="34"/>
    </row>
    <row r="1419" spans="4:33" s="2" customFormat="1" ht="27" customHeight="1" x14ac:dyDescent="0.3">
      <c r="D1419" s="23"/>
      <c r="AF1419" s="34"/>
      <c r="AG1419" s="34"/>
    </row>
    <row r="1420" spans="4:33" s="2" customFormat="1" ht="27" customHeight="1" x14ac:dyDescent="0.3">
      <c r="D1420" s="23"/>
      <c r="AF1420" s="34"/>
      <c r="AG1420" s="34"/>
    </row>
    <row r="1421" spans="4:33" s="2" customFormat="1" ht="27" customHeight="1" x14ac:dyDescent="0.3">
      <c r="D1421" s="23"/>
      <c r="AF1421" s="34"/>
      <c r="AG1421" s="34"/>
    </row>
    <row r="1422" spans="4:33" s="2" customFormat="1" ht="27" customHeight="1" x14ac:dyDescent="0.3">
      <c r="D1422" s="23"/>
      <c r="AF1422" s="34"/>
      <c r="AG1422" s="34"/>
    </row>
    <row r="1423" spans="4:33" s="2" customFormat="1" ht="27" customHeight="1" x14ac:dyDescent="0.3">
      <c r="D1423" s="23"/>
      <c r="AF1423" s="34"/>
      <c r="AG1423" s="34"/>
    </row>
    <row r="1424" spans="4:33" s="2" customFormat="1" ht="27" customHeight="1" x14ac:dyDescent="0.3">
      <c r="D1424" s="23"/>
      <c r="AF1424" s="34"/>
      <c r="AG1424" s="34"/>
    </row>
    <row r="1425" spans="4:33" s="2" customFormat="1" ht="27" customHeight="1" x14ac:dyDescent="0.3">
      <c r="D1425" s="23"/>
      <c r="AF1425" s="34"/>
      <c r="AG1425" s="34"/>
    </row>
    <row r="1426" spans="4:33" s="2" customFormat="1" ht="27" customHeight="1" x14ac:dyDescent="0.3">
      <c r="D1426" s="23"/>
      <c r="AF1426" s="34"/>
      <c r="AG1426" s="34"/>
    </row>
    <row r="1427" spans="4:33" s="2" customFormat="1" ht="27" customHeight="1" x14ac:dyDescent="0.3">
      <c r="D1427" s="23"/>
      <c r="AF1427" s="34"/>
      <c r="AG1427" s="34"/>
    </row>
    <row r="1428" spans="4:33" s="2" customFormat="1" ht="27" customHeight="1" x14ac:dyDescent="0.3">
      <c r="D1428" s="23"/>
      <c r="AF1428" s="34"/>
      <c r="AG1428" s="34"/>
    </row>
    <row r="1429" spans="4:33" s="2" customFormat="1" ht="27" customHeight="1" x14ac:dyDescent="0.3">
      <c r="D1429" s="23"/>
      <c r="AF1429" s="34"/>
      <c r="AG1429" s="34"/>
    </row>
    <row r="1430" spans="4:33" s="2" customFormat="1" ht="27" customHeight="1" x14ac:dyDescent="0.3">
      <c r="D1430" s="23"/>
      <c r="AF1430" s="34"/>
      <c r="AG1430" s="34"/>
    </row>
    <row r="1431" spans="4:33" s="2" customFormat="1" ht="27" customHeight="1" x14ac:dyDescent="0.3">
      <c r="D1431" s="23"/>
      <c r="AF1431" s="34"/>
      <c r="AG1431" s="34"/>
    </row>
    <row r="1432" spans="4:33" s="2" customFormat="1" ht="27" customHeight="1" x14ac:dyDescent="0.3">
      <c r="D1432" s="23"/>
      <c r="AF1432" s="34"/>
      <c r="AG1432" s="34"/>
    </row>
    <row r="1433" spans="4:33" s="2" customFormat="1" ht="27" customHeight="1" x14ac:dyDescent="0.3">
      <c r="D1433" s="23"/>
      <c r="AF1433" s="34"/>
      <c r="AG1433" s="34"/>
    </row>
    <row r="1434" spans="4:33" s="2" customFormat="1" ht="27" customHeight="1" x14ac:dyDescent="0.3">
      <c r="D1434" s="23"/>
      <c r="AF1434" s="34"/>
      <c r="AG1434" s="34"/>
    </row>
    <row r="1435" spans="4:33" s="2" customFormat="1" ht="27" customHeight="1" x14ac:dyDescent="0.3">
      <c r="D1435" s="23"/>
      <c r="AF1435" s="34"/>
      <c r="AG1435" s="34"/>
    </row>
    <row r="1436" spans="4:33" s="2" customFormat="1" ht="27" customHeight="1" x14ac:dyDescent="0.3">
      <c r="D1436" s="23"/>
      <c r="AF1436" s="34"/>
      <c r="AG1436" s="34"/>
    </row>
  </sheetData>
  <autoFilter ref="A8:AF8" xr:uid="{00000000-0009-0000-0000-000002000000}"/>
  <mergeCells count="1">
    <mergeCell ref="D6:D8"/>
  </mergeCells>
  <phoneticPr fontId="2" type="noConversion"/>
  <conditionalFormatting sqref="D1:D5">
    <cfRule type="duplicateValues" dxfId="38" priority="97" stopIfTrue="1"/>
    <cfRule type="duplicateValues" dxfId="37" priority="98" stopIfTrue="1"/>
    <cfRule type="duplicateValues" dxfId="36" priority="99" stopIfTrue="1"/>
    <cfRule type="duplicateValues" dxfId="35" priority="100" stopIfTrue="1"/>
  </conditionalFormatting>
  <conditionalFormatting sqref="D2:D5">
    <cfRule type="duplicateValues" dxfId="34" priority="96" stopIfTrue="1"/>
  </conditionalFormatting>
  <conditionalFormatting sqref="D9 D11:D14">
    <cfRule type="duplicateValues" dxfId="33" priority="2857"/>
  </conditionalFormatting>
  <conditionalFormatting sqref="D10">
    <cfRule type="duplicateValues" dxfId="32" priority="1"/>
  </conditionalFormatting>
  <conditionalFormatting sqref="D15:D1048576 D1:D8">
    <cfRule type="duplicateValues" dxfId="31" priority="103"/>
  </conditionalFormatting>
  <conditionalFormatting sqref="E6 E8">
    <cfRule type="duplicateValues" dxfId="30" priority="95" stopIfTrue="1"/>
  </conditionalFormatting>
  <conditionalFormatting sqref="E7">
    <cfRule type="duplicateValues" dxfId="29" priority="4"/>
    <cfRule type="duplicateValues" dxfId="28" priority="5" stopIfTrue="1"/>
  </conditionalFormatting>
  <conditionalFormatting sqref="E9 E11:E14">
    <cfRule type="duplicateValues" dxfId="27" priority="2859"/>
    <cfRule type="duplicateValues" dxfId="26" priority="2860" stopIfTrue="1"/>
  </conditionalFormatting>
  <conditionalFormatting sqref="E10">
    <cfRule type="duplicateValues" dxfId="25" priority="2"/>
    <cfRule type="duplicateValues" dxfId="24" priority="3" stopIfTrue="1"/>
  </conditionalFormatting>
  <conditionalFormatting sqref="E15:E1048576 E1 E3:E6 E8">
    <cfRule type="duplicateValues" dxfId="23" priority="102"/>
  </conditionalFormatting>
  <conditionalFormatting sqref="E15:E1048576 E1:E6 E8">
    <cfRule type="duplicateValues" dxfId="22" priority="94"/>
  </conditionalFormatting>
  <conditionalFormatting sqref="E15:E1048576">
    <cfRule type="duplicateValues" dxfId="21" priority="101"/>
  </conditionalFormatting>
  <pageMargins left="0.7" right="0.7" top="0.75" bottom="0.75" header="0.3" footer="0.3"/>
  <pageSetup paperSize="9" scale="10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"/>
  <sheetViews>
    <sheetView workbookViewId="0">
      <selection activeCell="B10" sqref="B10"/>
    </sheetView>
  </sheetViews>
  <sheetFormatPr defaultRowHeight="16.5" x14ac:dyDescent="0.3"/>
  <cols>
    <col min="1" max="2" width="9.75" bestFit="1" customWidth="1"/>
    <col min="3" max="3" width="8" bestFit="1" customWidth="1"/>
    <col min="4" max="4" width="20.625" bestFit="1" customWidth="1"/>
    <col min="5" max="5" width="13.25" bestFit="1" customWidth="1"/>
    <col min="6" max="6" width="12.125" customWidth="1"/>
  </cols>
  <sheetData>
    <row r="2" spans="1:7" x14ac:dyDescent="0.3">
      <c r="A2" s="12" t="s">
        <v>19</v>
      </c>
      <c r="B2" s="22" t="s">
        <v>20</v>
      </c>
      <c r="C2" s="22" t="s">
        <v>21</v>
      </c>
      <c r="D2" s="65" t="s">
        <v>2</v>
      </c>
      <c r="E2" s="10" t="s">
        <v>3</v>
      </c>
      <c r="F2" s="10"/>
      <c r="G2" s="10" t="s">
        <v>460</v>
      </c>
    </row>
    <row r="3" spans="1:7" x14ac:dyDescent="0.3">
      <c r="A3" s="27">
        <v>45950</v>
      </c>
      <c r="B3" s="27">
        <v>45945</v>
      </c>
      <c r="C3" s="21" t="s">
        <v>49</v>
      </c>
      <c r="D3" s="57" t="s">
        <v>113</v>
      </c>
      <c r="E3" s="58" t="s">
        <v>114</v>
      </c>
      <c r="F3" s="58" t="s">
        <v>458</v>
      </c>
      <c r="G3" s="66"/>
    </row>
    <row r="4" spans="1:7" x14ac:dyDescent="0.3">
      <c r="A4" s="27">
        <v>45954</v>
      </c>
      <c r="B4" s="27">
        <v>45951</v>
      </c>
      <c r="C4" s="21" t="s">
        <v>49</v>
      </c>
      <c r="D4" s="57" t="s">
        <v>364</v>
      </c>
      <c r="E4" s="58" t="s">
        <v>366</v>
      </c>
      <c r="F4" s="58" t="s">
        <v>459</v>
      </c>
      <c r="G4" s="66"/>
    </row>
    <row r="5" spans="1:7" x14ac:dyDescent="0.3">
      <c r="A5" s="27">
        <v>46009</v>
      </c>
      <c r="B5" s="27">
        <v>46006</v>
      </c>
      <c r="C5" s="21" t="s">
        <v>49</v>
      </c>
      <c r="D5" s="57" t="s">
        <v>570</v>
      </c>
      <c r="E5" s="70" t="s">
        <v>571</v>
      </c>
      <c r="F5" s="58" t="s">
        <v>572</v>
      </c>
      <c r="G5" s="66"/>
    </row>
    <row r="6" spans="1:7" x14ac:dyDescent="0.3">
      <c r="A6" s="27">
        <v>46038</v>
      </c>
      <c r="B6" s="27">
        <v>46036</v>
      </c>
      <c r="C6" s="21" t="s">
        <v>49</v>
      </c>
      <c r="D6" s="57" t="s">
        <v>1179</v>
      </c>
      <c r="E6" s="70" t="s">
        <v>1181</v>
      </c>
      <c r="F6" s="58" t="s">
        <v>1183</v>
      </c>
      <c r="G6" s="66"/>
    </row>
  </sheetData>
  <phoneticPr fontId="2" type="noConversion"/>
  <conditionalFormatting sqref="D2">
    <cfRule type="duplicateValues" dxfId="20" priority="2743"/>
  </conditionalFormatting>
  <conditionalFormatting sqref="D3">
    <cfRule type="duplicateValues" dxfId="19" priority="18"/>
  </conditionalFormatting>
  <conditionalFormatting sqref="D4">
    <cfRule type="duplicateValues" dxfId="18" priority="15"/>
  </conditionalFormatting>
  <conditionalFormatting sqref="D5">
    <cfRule type="duplicateValues" dxfId="17" priority="8"/>
  </conditionalFormatting>
  <conditionalFormatting sqref="E2">
    <cfRule type="duplicateValues" dxfId="16" priority="2740" stopIfTrue="1"/>
    <cfRule type="duplicateValues" dxfId="15" priority="2741"/>
  </conditionalFormatting>
  <conditionalFormatting sqref="E5">
    <cfRule type="duplicateValues" dxfId="14" priority="6"/>
    <cfRule type="duplicateValues" dxfId="13" priority="7" stopIfTrue="1"/>
  </conditionalFormatting>
  <conditionalFormatting sqref="E3:F3">
    <cfRule type="duplicateValues" dxfId="12" priority="16"/>
    <cfRule type="duplicateValues" dxfId="11" priority="17" stopIfTrue="1"/>
  </conditionalFormatting>
  <conditionalFormatting sqref="E4:F4">
    <cfRule type="duplicateValues" dxfId="10" priority="13"/>
    <cfRule type="duplicateValues" dxfId="9" priority="14" stopIfTrue="1"/>
  </conditionalFormatting>
  <conditionalFormatting sqref="F2">
    <cfRule type="duplicateValues" dxfId="8" priority="9" stopIfTrue="1"/>
    <cfRule type="duplicateValues" dxfId="7" priority="10"/>
  </conditionalFormatting>
  <conditionalFormatting sqref="F5:F6">
    <cfRule type="duplicateValues" dxfId="6" priority="4"/>
    <cfRule type="duplicateValues" dxfId="5" priority="5" stopIfTrue="1"/>
  </conditionalFormatting>
  <conditionalFormatting sqref="G2">
    <cfRule type="duplicateValues" dxfId="4" priority="11" stopIfTrue="1"/>
    <cfRule type="duplicateValues" dxfId="3" priority="12"/>
  </conditionalFormatting>
  <conditionalFormatting sqref="E6">
    <cfRule type="duplicateValues" dxfId="2" priority="2"/>
    <cfRule type="duplicateValues" dxfId="1" priority="3" stopIfTrue="1"/>
  </conditionalFormatting>
  <conditionalFormatting sqref="D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분석결과</vt:lpstr>
      <vt:lpstr>A.토양이화학성</vt:lpstr>
      <vt:lpstr>B.지하수</vt:lpstr>
      <vt:lpstr>TB</vt:lpstr>
      <vt:lpstr>A.토양이화학성!Print_Area</vt:lpstr>
      <vt:lpstr>B.지하수!Print_Area</vt:lpstr>
      <vt:lpstr>분석결과!Print_Area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2020-09-03T04:26:19Z</cp:lastPrinted>
  <dcterms:created xsi:type="dcterms:W3CDTF">2018-06-01T08:42:58Z</dcterms:created>
  <dcterms:modified xsi:type="dcterms:W3CDTF">2026-02-13T01:25:12Z</dcterms:modified>
</cp:coreProperties>
</file>