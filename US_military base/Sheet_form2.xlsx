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ata-hub\US_military base\"/>
    </mc:Choice>
  </mc:AlternateContent>
  <xr:revisionPtr revIDLastSave="0" documentId="13_ncr:1_{DEEDA93D-3AC4-4911-8F7E-321E5CA76903}" xr6:coauthVersionLast="47" xr6:coauthVersionMax="47" xr10:uidLastSave="{00000000-0000-0000-0000-000000000000}"/>
  <bookViews>
    <workbookView xWindow="28680" yWindow="-120" windowWidth="29040" windowHeight="15720" activeTab="2" xr2:uid="{BBBD830E-163A-49B9-841A-01A1C441175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" i="2" l="1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T2" authorId="0" shapeId="0" xr:uid="{953AED4E-FCC3-4AE1-9554-98C9ECB6B9AB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지역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적용
</t>
        </r>
      </text>
    </comment>
  </commentList>
</comments>
</file>

<file path=xl/sharedStrings.xml><?xml version="1.0" encoding="utf-8"?>
<sst xmlns="http://schemas.openxmlformats.org/spreadsheetml/2006/main" count="354" uniqueCount="105">
  <si>
    <t>NO</t>
    <phoneticPr fontId="4" type="noConversion"/>
  </si>
  <si>
    <t>시료채취일</t>
    <phoneticPr fontId="3" type="noConversion"/>
  </si>
  <si>
    <t>심도</t>
    <phoneticPr fontId="3" type="noConversion"/>
  </si>
  <si>
    <t>깊이</t>
    <phoneticPr fontId="3" type="noConversion"/>
  </si>
  <si>
    <t>토지이용도</t>
    <phoneticPr fontId="3" type="noConversion"/>
  </si>
  <si>
    <t>원래지목</t>
    <phoneticPr fontId="3" type="noConversion"/>
  </si>
  <si>
    <t>지점명</t>
    <phoneticPr fontId="3" type="noConversion"/>
  </si>
  <si>
    <t>시 료 명</t>
    <phoneticPr fontId="4" type="noConversion"/>
  </si>
  <si>
    <t>Dioxin</t>
    <phoneticPr fontId="3" type="noConversion"/>
  </si>
  <si>
    <t>pH</t>
  </si>
  <si>
    <t>울산울주</t>
    <phoneticPr fontId="3" type="noConversion"/>
  </si>
  <si>
    <t>2025.10.15</t>
    <phoneticPr fontId="3" type="noConversion"/>
  </si>
  <si>
    <t>0-0.15</t>
    <phoneticPr fontId="3" type="noConversion"/>
  </si>
  <si>
    <t>법정지목</t>
    <phoneticPr fontId="3" type="noConversion"/>
  </si>
  <si>
    <t>1지역</t>
    <phoneticPr fontId="3" type="noConversion"/>
  </si>
  <si>
    <t>2지역</t>
  </si>
  <si>
    <t>UJS-A001-01</t>
  </si>
  <si>
    <t>1지역</t>
  </si>
  <si>
    <t>UJS-A011-01</t>
  </si>
  <si>
    <t>UJS-A014-01</t>
  </si>
  <si>
    <t>UJS-A021-01</t>
  </si>
  <si>
    <t>UJS-A022-01</t>
  </si>
  <si>
    <t>대책기준</t>
    <phoneticPr fontId="3" type="noConversion"/>
  </si>
  <si>
    <t>－</t>
    <phoneticPr fontId="3" type="noConversion"/>
  </si>
  <si>
    <t>우려기준</t>
    <phoneticPr fontId="3" type="noConversion"/>
  </si>
  <si>
    <t>2지역</t>
    <phoneticPr fontId="3" type="noConversion"/>
  </si>
  <si>
    <t>3지역</t>
    <phoneticPr fontId="3" type="noConversion"/>
  </si>
  <si>
    <t>Benzene</t>
    <phoneticPr fontId="4" type="noConversion"/>
  </si>
  <si>
    <t>Toluene</t>
    <phoneticPr fontId="4" type="noConversion"/>
  </si>
  <si>
    <t>Ethylbenzene</t>
    <phoneticPr fontId="4" type="noConversion"/>
  </si>
  <si>
    <t>Xylene</t>
    <phoneticPr fontId="4" type="noConversion"/>
  </si>
  <si>
    <t>대책구분</t>
    <phoneticPr fontId="3" type="noConversion"/>
  </si>
  <si>
    <t>TPH</t>
  </si>
  <si>
    <t>-</t>
  </si>
  <si>
    <t>PCBs</t>
  </si>
  <si>
    <t>Cd</t>
  </si>
  <si>
    <t>Cd</t>
    <phoneticPr fontId="4" type="noConversion"/>
  </si>
  <si>
    <t>Cu</t>
  </si>
  <si>
    <t>Cu</t>
    <phoneticPr fontId="4" type="noConversion"/>
  </si>
  <si>
    <t>As</t>
  </si>
  <si>
    <t>As</t>
    <phoneticPr fontId="4" type="noConversion"/>
  </si>
  <si>
    <t>Hg</t>
  </si>
  <si>
    <t>Hg</t>
    <phoneticPr fontId="4" type="noConversion"/>
  </si>
  <si>
    <t>Pb</t>
  </si>
  <si>
    <t>Pb</t>
    <phoneticPr fontId="4" type="noConversion"/>
  </si>
  <si>
    <t>Cr6+</t>
  </si>
  <si>
    <t>Cr6+</t>
    <phoneticPr fontId="4" type="noConversion"/>
  </si>
  <si>
    <t>Zn</t>
  </si>
  <si>
    <t>Zn</t>
    <phoneticPr fontId="4" type="noConversion"/>
  </si>
  <si>
    <t>Ni</t>
  </si>
  <si>
    <t>Ni</t>
    <phoneticPr fontId="4" type="noConversion"/>
  </si>
  <si>
    <t>F</t>
  </si>
  <si>
    <t>F</t>
    <phoneticPr fontId="4" type="noConversion"/>
  </si>
  <si>
    <t>유기인화합물</t>
  </si>
  <si>
    <t>유기인화합물</t>
    <phoneticPr fontId="4" type="noConversion"/>
  </si>
  <si>
    <t>PCBs</t>
    <phoneticPr fontId="4" type="noConversion"/>
  </si>
  <si>
    <t>CN</t>
  </si>
  <si>
    <t>CN</t>
    <phoneticPr fontId="4" type="noConversion"/>
  </si>
  <si>
    <t>Phenol</t>
  </si>
  <si>
    <t>Phenol</t>
    <phoneticPr fontId="4" type="noConversion"/>
  </si>
  <si>
    <t>Pentachlorophenol</t>
  </si>
  <si>
    <t>Pentachlorophenol</t>
    <phoneticPr fontId="4" type="noConversion"/>
  </si>
  <si>
    <t>TPH</t>
    <phoneticPr fontId="4" type="noConversion"/>
  </si>
  <si>
    <t>TCE</t>
  </si>
  <si>
    <t>TCE</t>
    <phoneticPr fontId="4" type="noConversion"/>
  </si>
  <si>
    <t>PCE</t>
  </si>
  <si>
    <t>PCE</t>
    <phoneticPr fontId="4" type="noConversion"/>
  </si>
  <si>
    <t>1,2DCA</t>
  </si>
  <si>
    <t>1,2DCA</t>
    <phoneticPr fontId="3" type="noConversion"/>
  </si>
  <si>
    <t>BaP</t>
  </si>
  <si>
    <t>BaP</t>
    <phoneticPr fontId="3" type="noConversion"/>
  </si>
  <si>
    <t>A</t>
  </si>
  <si>
    <t>최초</t>
  </si>
  <si>
    <t>01</t>
  </si>
  <si>
    <t>UJS-A001</t>
  </si>
  <si>
    <t>UJS-A011</t>
  </si>
  <si>
    <t>UJS-A014</t>
  </si>
  <si>
    <t>UJS-A021</t>
  </si>
  <si>
    <t>UJS-A022</t>
  </si>
  <si>
    <t>시료구분</t>
    <phoneticPr fontId="3" type="noConversion"/>
  </si>
  <si>
    <t>조사구역</t>
    <phoneticPr fontId="3" type="noConversion"/>
  </si>
  <si>
    <t>조사구분</t>
    <phoneticPr fontId="3" type="noConversion"/>
  </si>
  <si>
    <t>지목</t>
    <phoneticPr fontId="3" type="noConversion"/>
  </si>
  <si>
    <t>Benzene</t>
  </si>
  <si>
    <t>Toluene</t>
  </si>
  <si>
    <t>Ethylbenzene</t>
  </si>
  <si>
    <t>Xylene</t>
  </si>
  <si>
    <t>Dioxin</t>
  </si>
  <si>
    <t>합계</t>
    <phoneticPr fontId="3" type="noConversion"/>
  </si>
  <si>
    <t>40%/70%_1지역_지점수</t>
    <phoneticPr fontId="3" type="noConversion"/>
  </si>
  <si>
    <t>40%/70%_1지역_시료수</t>
    <phoneticPr fontId="3" type="noConversion"/>
  </si>
  <si>
    <t>최고농도</t>
    <phoneticPr fontId="3" type="noConversion"/>
  </si>
  <si>
    <t>40%/70%</t>
    <phoneticPr fontId="3" type="noConversion"/>
  </si>
  <si>
    <t>우려기준_1지역_지점수</t>
  </si>
  <si>
    <t>우려기준_1지역_시료수</t>
  </si>
  <si>
    <t>우려기준_2지역_지점수</t>
  </si>
  <si>
    <t>우려기준_2지역_시료수</t>
  </si>
  <si>
    <t>우려기준_3지역_지점수</t>
  </si>
  <si>
    <t>우려기준_3지역_시료수</t>
  </si>
  <si>
    <t>대책기준_1지역_지점수</t>
    <phoneticPr fontId="3" type="noConversion"/>
  </si>
  <si>
    <t>대책기준_1지역_시료수</t>
    <phoneticPr fontId="3" type="noConversion"/>
  </si>
  <si>
    <t>대책기준_2지역_지점수</t>
    <phoneticPr fontId="3" type="noConversion"/>
  </si>
  <si>
    <t>대책기준_2지역_시료수</t>
    <phoneticPr fontId="3" type="noConversion"/>
  </si>
  <si>
    <t>대책기준_3지역_지점수</t>
    <phoneticPr fontId="3" type="noConversion"/>
  </si>
  <si>
    <t>대책기준_3지역_시료수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</si>
</sst>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_);[Red]\(#,##0.000\)"/>
    <numFmt numFmtId="177" formatCode="0.0"/>
    <numFmt numFmtId="178" formatCode="0.000_);[Red]\(0.000\)"/>
    <numFmt numFmtId="179" formatCode="mm&quot;월&quot;\ dd&quot;일&quot;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2"/>
      <color rgb="FF000000"/>
      <name val="휴먼명조"/>
      <charset val="129"/>
    </font>
    <font>
      <sz val="12"/>
      <color rgb="FF000000"/>
      <name val="휴먼명조"/>
      <charset val="129"/>
    </font>
    <font>
      <b/>
      <sz val="11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">
    <xf numFmtId="0" fontId="0" fillId="0" borderId="0" xfId="0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4" fontId="13" fillId="0" borderId="1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7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14" fillId="2" borderId="1" xfId="1" applyFont="1" applyFill="1" applyBorder="1" applyAlignment="1">
      <alignment horizontal="center" vertical="center" wrapText="1"/>
    </xf>
    <xf numFmtId="0" fontId="14" fillId="2" borderId="1" xfId="1" applyFont="1" applyFill="1" applyBorder="1" applyAlignment="1">
      <alignment horizontal="center" vertical="center"/>
    </xf>
    <xf numFmtId="176" fontId="14" fillId="3" borderId="1" xfId="1" applyNumberFormat="1" applyFont="1" applyFill="1" applyBorder="1" applyAlignment="1">
      <alignment horizontal="center" vertical="center" wrapText="1"/>
    </xf>
    <xf numFmtId="177" fontId="14" fillId="3" borderId="1" xfId="1" applyNumberFormat="1" applyFont="1" applyFill="1" applyBorder="1" applyAlignment="1">
      <alignment horizontal="center" vertical="center" wrapText="1"/>
    </xf>
    <xf numFmtId="176" fontId="15" fillId="3" borderId="1" xfId="1" applyNumberFormat="1" applyFont="1" applyFill="1" applyBorder="1" applyAlignment="1">
      <alignment horizontal="center" vertical="center" wrapText="1"/>
    </xf>
    <xf numFmtId="178" fontId="14" fillId="2" borderId="1" xfId="1" applyNumberFormat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179" fontId="5" fillId="2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</cellXfs>
  <cellStyles count="2">
    <cellStyle name="표준" xfId="0" builtinId="0"/>
    <cellStyle name="표준 3" xfId="1" xr:uid="{FD7C1002-9286-4D66-AF4D-A27F08537E4E}"/>
  </cellStyles>
  <dxfs count="8">
    <dxf>
      <font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84"/>
        </patternFill>
      </fill>
    </dxf>
    <dxf>
      <fill>
        <patternFill>
          <bgColor rgb="FFFF0000"/>
        </patternFill>
      </fill>
    </dxf>
    <dxf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93624-1857-4E1C-9057-128E35C8F5C8}">
  <dimension ref="A1:AK6"/>
  <sheetViews>
    <sheetView topLeftCell="B1" zoomScale="70" zoomScaleNormal="70" workbookViewId="0">
      <selection activeCell="P10" sqref="P10"/>
    </sheetView>
  </sheetViews>
  <sheetFormatPr defaultRowHeight="16.5" x14ac:dyDescent="0.3"/>
  <cols>
    <col min="4" max="4" width="18.25" customWidth="1"/>
    <col min="10" max="10" width="9" customWidth="1"/>
    <col min="11" max="11" width="8.875" customWidth="1"/>
    <col min="12" max="12" width="12.625" bestFit="1" customWidth="1"/>
  </cols>
  <sheetData>
    <row r="1" spans="1:37" ht="33" x14ac:dyDescent="0.3">
      <c r="A1" s="17" t="s">
        <v>0</v>
      </c>
      <c r="B1" s="18" t="s">
        <v>81</v>
      </c>
      <c r="C1" s="18" t="s">
        <v>80</v>
      </c>
      <c r="D1" s="17" t="s">
        <v>1</v>
      </c>
      <c r="E1" s="19" t="s">
        <v>79</v>
      </c>
      <c r="F1" s="19" t="s">
        <v>2</v>
      </c>
      <c r="G1" s="19" t="s">
        <v>3</v>
      </c>
      <c r="H1" s="19" t="s">
        <v>4</v>
      </c>
      <c r="I1" s="19" t="s">
        <v>82</v>
      </c>
      <c r="J1" s="19" t="s">
        <v>5</v>
      </c>
      <c r="K1" s="19" t="s">
        <v>6</v>
      </c>
      <c r="L1" s="20" t="s">
        <v>7</v>
      </c>
      <c r="M1" s="21" t="s">
        <v>36</v>
      </c>
      <c r="N1" s="21" t="s">
        <v>38</v>
      </c>
      <c r="O1" s="21" t="s">
        <v>40</v>
      </c>
      <c r="P1" s="21" t="s">
        <v>42</v>
      </c>
      <c r="Q1" s="21" t="s">
        <v>44</v>
      </c>
      <c r="R1" s="21" t="s">
        <v>46</v>
      </c>
      <c r="S1" s="21" t="s">
        <v>48</v>
      </c>
      <c r="T1" s="22" t="s">
        <v>50</v>
      </c>
      <c r="U1" s="21" t="s">
        <v>52</v>
      </c>
      <c r="V1" s="23" t="s">
        <v>54</v>
      </c>
      <c r="W1" s="21" t="s">
        <v>55</v>
      </c>
      <c r="X1" s="21" t="s">
        <v>57</v>
      </c>
      <c r="Y1" s="21" t="s">
        <v>59</v>
      </c>
      <c r="Z1" s="23" t="s">
        <v>61</v>
      </c>
      <c r="AA1" s="24" t="s">
        <v>27</v>
      </c>
      <c r="AB1" s="24" t="s">
        <v>28</v>
      </c>
      <c r="AC1" s="24" t="s">
        <v>29</v>
      </c>
      <c r="AD1" s="24" t="s">
        <v>30</v>
      </c>
      <c r="AE1" s="21" t="s">
        <v>62</v>
      </c>
      <c r="AF1" s="21" t="s">
        <v>64</v>
      </c>
      <c r="AG1" s="21" t="s">
        <v>66</v>
      </c>
      <c r="AH1" s="21" t="s">
        <v>68</v>
      </c>
      <c r="AI1" s="21" t="s">
        <v>70</v>
      </c>
      <c r="AJ1" s="21" t="s">
        <v>8</v>
      </c>
      <c r="AK1" s="19" t="s">
        <v>9</v>
      </c>
    </row>
    <row r="2" spans="1:37" x14ac:dyDescent="0.3">
      <c r="A2" s="25">
        <v>1</v>
      </c>
      <c r="B2" s="25" t="s">
        <v>71</v>
      </c>
      <c r="C2" s="25" t="s">
        <v>10</v>
      </c>
      <c r="D2" s="26" t="s">
        <v>11</v>
      </c>
      <c r="E2" s="20" t="s">
        <v>72</v>
      </c>
      <c r="F2" s="20" t="s">
        <v>73</v>
      </c>
      <c r="G2" s="20" t="s">
        <v>12</v>
      </c>
      <c r="H2" s="20" t="s">
        <v>13</v>
      </c>
      <c r="I2" s="20" t="s">
        <v>14</v>
      </c>
      <c r="J2" s="20" t="s">
        <v>15</v>
      </c>
      <c r="K2" s="20" t="s">
        <v>74</v>
      </c>
      <c r="L2" s="27" t="s">
        <v>16</v>
      </c>
      <c r="M2" s="28">
        <v>12</v>
      </c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x14ac:dyDescent="0.3">
      <c r="A3" s="25">
        <v>2</v>
      </c>
      <c r="B3" s="25" t="s">
        <v>71</v>
      </c>
      <c r="C3" s="25" t="s">
        <v>10</v>
      </c>
      <c r="D3" s="26" t="s">
        <v>11</v>
      </c>
      <c r="E3" s="20" t="s">
        <v>72</v>
      </c>
      <c r="F3" s="20" t="s">
        <v>73</v>
      </c>
      <c r="G3" s="20" t="s">
        <v>12</v>
      </c>
      <c r="H3" s="20" t="s">
        <v>13</v>
      </c>
      <c r="I3" s="20" t="s">
        <v>14</v>
      </c>
      <c r="J3" s="20" t="s">
        <v>17</v>
      </c>
      <c r="K3" s="20" t="s">
        <v>75</v>
      </c>
      <c r="L3" s="27" t="s">
        <v>18</v>
      </c>
      <c r="M3" s="28">
        <v>12</v>
      </c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</row>
    <row r="4" spans="1:37" x14ac:dyDescent="0.3">
      <c r="A4" s="25">
        <v>3</v>
      </c>
      <c r="B4" s="25" t="s">
        <v>71</v>
      </c>
      <c r="C4" s="25" t="s">
        <v>10</v>
      </c>
      <c r="D4" s="26" t="s">
        <v>11</v>
      </c>
      <c r="E4" s="20" t="s">
        <v>72</v>
      </c>
      <c r="F4" s="20" t="s">
        <v>73</v>
      </c>
      <c r="G4" s="20" t="s">
        <v>12</v>
      </c>
      <c r="H4" s="20" t="s">
        <v>13</v>
      </c>
      <c r="I4" s="20" t="s">
        <v>14</v>
      </c>
      <c r="J4" s="20" t="s">
        <v>15</v>
      </c>
      <c r="K4" s="20" t="s">
        <v>76</v>
      </c>
      <c r="L4" s="27" t="s">
        <v>19</v>
      </c>
      <c r="M4" s="28">
        <v>4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</row>
    <row r="5" spans="1:37" x14ac:dyDescent="0.3">
      <c r="A5" s="25">
        <v>4</v>
      </c>
      <c r="B5" s="25" t="s">
        <v>71</v>
      </c>
      <c r="C5" s="25" t="s">
        <v>10</v>
      </c>
      <c r="D5" s="26" t="s">
        <v>11</v>
      </c>
      <c r="E5" s="20" t="s">
        <v>72</v>
      </c>
      <c r="F5" s="20" t="s">
        <v>73</v>
      </c>
      <c r="G5" s="20" t="s">
        <v>12</v>
      </c>
      <c r="H5" s="20" t="s">
        <v>13</v>
      </c>
      <c r="I5" s="20" t="s">
        <v>14</v>
      </c>
      <c r="J5" s="20" t="s">
        <v>15</v>
      </c>
      <c r="K5" s="20" t="s">
        <v>77</v>
      </c>
      <c r="L5" s="27" t="s">
        <v>20</v>
      </c>
      <c r="M5" s="28">
        <v>4</v>
      </c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</row>
    <row r="6" spans="1:37" x14ac:dyDescent="0.3">
      <c r="A6" s="25">
        <v>5</v>
      </c>
      <c r="B6" s="25" t="s">
        <v>71</v>
      </c>
      <c r="C6" s="25" t="s">
        <v>10</v>
      </c>
      <c r="D6" s="26" t="s">
        <v>11</v>
      </c>
      <c r="E6" s="20" t="s">
        <v>72</v>
      </c>
      <c r="F6" s="20" t="s">
        <v>73</v>
      </c>
      <c r="G6" s="20" t="s">
        <v>12</v>
      </c>
      <c r="H6" s="20" t="s">
        <v>13</v>
      </c>
      <c r="I6" s="20" t="s">
        <v>14</v>
      </c>
      <c r="J6" s="20" t="s">
        <v>15</v>
      </c>
      <c r="K6" s="20" t="s">
        <v>78</v>
      </c>
      <c r="L6" s="27" t="s">
        <v>21</v>
      </c>
      <c r="M6" s="28">
        <v>2.8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</row>
  </sheetData>
  <phoneticPr fontId="3" type="noConversion"/>
  <conditionalFormatting sqref="E2:E6">
    <cfRule type="containsText" dxfId="7" priority="1" operator="containsText" text="최초">
      <formula>NOT(ISERROR(SEARCH("최초",E2)))</formula>
    </cfRule>
  </conditionalFormatting>
  <conditionalFormatting sqref="F2:F6">
    <cfRule type="containsText" dxfId="6" priority="2" operator="containsText" text="01">
      <formula>NOT(ISERROR(SEARCH("01",F2)))</formula>
    </cfRule>
  </conditionalFormatting>
  <conditionalFormatting sqref="L1:L6">
    <cfRule type="duplicateValues" dxfId="5" priority="8"/>
  </conditionalFormatting>
  <conditionalFormatting sqref="M2:AK6">
    <cfRule type="expression" dxfId="4" priority="3" stopIfTrue="1">
      <formula>OR(M2=0, M2="ND", M2="", ISBLANK(M2),    IF($I2="1지역", M2&lt;=INDEX(M:M,3),    IF($I2="2지역", M2&lt;=INDEX(M:M,6),    IF($I2="3지역", M2&lt;=INDEX(M:M,9),FALSE))))</formula>
    </cfRule>
    <cfRule type="expression" dxfId="3" priority="4" stopIfTrue="1">
      <formula>IF($I2="1지역", M2&gt;=INDEX(M:M,1),IF($I2="2지역", M2&gt;=INDEX(M:M,4),IF($I2="3지역", M2&gt;=INDEX(M:M,7),FALSE)))</formula>
    </cfRule>
    <cfRule type="expression" dxfId="2" priority="5" stopIfTrue="1">
      <formula>IF($I2="1지역", AND(M2&gt;=INDEX(M:M,2), M2&lt;INDEX(M:M,1)),IF($I2="2지역", AND(M2&gt;=INDEX(M:M,5), M2&lt;INDEX(M:M,4)),IF($I2="3지역", AND(M2&gt;=INDEX(M:M,8), M2&lt;INDEX(M:M,7)),FALSE)))</formula>
    </cfRule>
    <cfRule type="expression" dxfId="1" priority="6" stopIfTrue="1">
      <formula>IF($I2="1지역", AND(M2&gt;INDEX(M:M,3), M2&lt;INDEX(M:M,2)),IF($I2="2지역", AND(M2&gt;INDEX(M:M,6), M2&lt;INDEX(M:M,5)),IF($I2="3지역", AND(M2&gt;INDEX(M:M,9), M2&lt;INDEX(M:M,8)),FALSE)))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4FE9B-34F9-440B-B4E1-C76A267E171D}">
  <dimension ref="A1:AA10"/>
  <sheetViews>
    <sheetView zoomScale="85" zoomScaleNormal="85" workbookViewId="0">
      <selection activeCell="F15" sqref="F15"/>
    </sheetView>
  </sheetViews>
  <sheetFormatPr defaultRowHeight="16.5" x14ac:dyDescent="0.3"/>
  <cols>
    <col min="2" max="2" width="15.875" bestFit="1" customWidth="1"/>
    <col min="16" max="16" width="20.5" customWidth="1"/>
  </cols>
  <sheetData>
    <row r="1" spans="1:27" x14ac:dyDescent="0.3">
      <c r="A1" s="20" t="s">
        <v>0</v>
      </c>
      <c r="B1" s="19" t="s">
        <v>31</v>
      </c>
      <c r="C1" s="21" t="s">
        <v>35</v>
      </c>
      <c r="D1" s="21" t="s">
        <v>37</v>
      </c>
      <c r="E1" s="21" t="s">
        <v>39</v>
      </c>
      <c r="F1" s="21" t="s">
        <v>41</v>
      </c>
      <c r="G1" s="21" t="s">
        <v>43</v>
      </c>
      <c r="H1" s="21" t="s">
        <v>45</v>
      </c>
      <c r="I1" s="21" t="s">
        <v>47</v>
      </c>
      <c r="J1" s="22" t="s">
        <v>49</v>
      </c>
      <c r="K1" s="21" t="s">
        <v>51</v>
      </c>
      <c r="L1" s="23" t="s">
        <v>53</v>
      </c>
      <c r="M1" s="21" t="s">
        <v>34</v>
      </c>
      <c r="N1" s="21" t="s">
        <v>56</v>
      </c>
      <c r="O1" s="21" t="s">
        <v>58</v>
      </c>
      <c r="P1" s="21" t="s">
        <v>60</v>
      </c>
      <c r="Q1" s="24" t="s">
        <v>83</v>
      </c>
      <c r="R1" s="24" t="s">
        <v>84</v>
      </c>
      <c r="S1" s="24" t="s">
        <v>85</v>
      </c>
      <c r="T1" s="24" t="s">
        <v>86</v>
      </c>
      <c r="U1" s="21" t="s">
        <v>32</v>
      </c>
      <c r="V1" s="21" t="s">
        <v>63</v>
      </c>
      <c r="W1" s="21" t="s">
        <v>65</v>
      </c>
      <c r="X1" s="21" t="s">
        <v>67</v>
      </c>
      <c r="Y1" s="21" t="s">
        <v>69</v>
      </c>
      <c r="Z1" s="21" t="s">
        <v>87</v>
      </c>
      <c r="AA1" s="18" t="s">
        <v>9</v>
      </c>
    </row>
    <row r="2" spans="1:27" x14ac:dyDescent="0.3">
      <c r="A2" s="29" t="s">
        <v>14</v>
      </c>
      <c r="B2" s="11" t="s">
        <v>22</v>
      </c>
      <c r="C2" s="1">
        <v>12</v>
      </c>
      <c r="D2" s="1">
        <v>450</v>
      </c>
      <c r="E2" s="1">
        <v>75</v>
      </c>
      <c r="F2" s="1">
        <v>12</v>
      </c>
      <c r="G2" s="1">
        <v>600</v>
      </c>
      <c r="H2" s="1">
        <v>15</v>
      </c>
      <c r="I2" s="1">
        <v>900</v>
      </c>
      <c r="J2" s="4">
        <v>300</v>
      </c>
      <c r="K2" s="1">
        <v>2400</v>
      </c>
      <c r="L2" s="12" t="s">
        <v>23</v>
      </c>
      <c r="M2" s="1">
        <v>3</v>
      </c>
      <c r="N2" s="1">
        <v>5</v>
      </c>
      <c r="O2" s="1">
        <v>10</v>
      </c>
      <c r="P2" s="1">
        <v>10</v>
      </c>
      <c r="Q2" s="1">
        <v>3</v>
      </c>
      <c r="R2" s="1">
        <v>60</v>
      </c>
      <c r="S2" s="1">
        <v>150</v>
      </c>
      <c r="T2" s="1">
        <v>45</v>
      </c>
      <c r="U2" s="1">
        <v>2000</v>
      </c>
      <c r="V2" s="1">
        <v>24</v>
      </c>
      <c r="W2" s="1">
        <v>12</v>
      </c>
      <c r="X2" s="1">
        <v>15</v>
      </c>
      <c r="Y2" s="1">
        <v>2</v>
      </c>
      <c r="Z2" s="1">
        <v>500</v>
      </c>
      <c r="AA2" s="10"/>
    </row>
    <row r="3" spans="1:27" x14ac:dyDescent="0.3">
      <c r="A3" s="29"/>
      <c r="B3" s="13" t="s">
        <v>24</v>
      </c>
      <c r="C3" s="2">
        <v>4</v>
      </c>
      <c r="D3" s="2">
        <v>150</v>
      </c>
      <c r="E3" s="2">
        <v>25</v>
      </c>
      <c r="F3" s="2">
        <v>4</v>
      </c>
      <c r="G3" s="2">
        <v>200</v>
      </c>
      <c r="H3" s="2">
        <v>5</v>
      </c>
      <c r="I3" s="2">
        <v>300</v>
      </c>
      <c r="J3" s="14">
        <v>100</v>
      </c>
      <c r="K3" s="2">
        <v>800</v>
      </c>
      <c r="L3" s="2">
        <v>10</v>
      </c>
      <c r="M3" s="2">
        <v>1</v>
      </c>
      <c r="N3" s="2">
        <v>2</v>
      </c>
      <c r="O3" s="2">
        <v>4</v>
      </c>
      <c r="P3" s="2">
        <v>4</v>
      </c>
      <c r="Q3" s="2">
        <v>1</v>
      </c>
      <c r="R3" s="2">
        <v>20</v>
      </c>
      <c r="S3" s="2">
        <v>50</v>
      </c>
      <c r="T3" s="2">
        <v>15</v>
      </c>
      <c r="U3" s="2">
        <v>500</v>
      </c>
      <c r="V3" s="2">
        <v>8</v>
      </c>
      <c r="W3" s="2">
        <v>4</v>
      </c>
      <c r="X3" s="2">
        <v>5</v>
      </c>
      <c r="Y3" s="2">
        <v>0.7</v>
      </c>
      <c r="Z3" s="2">
        <v>160</v>
      </c>
      <c r="AA3" s="10"/>
    </row>
    <row r="4" spans="1:27" x14ac:dyDescent="0.3">
      <c r="A4" s="29"/>
      <c r="B4" s="15" t="s">
        <v>92</v>
      </c>
      <c r="C4" s="3">
        <f>C3*0.7</f>
        <v>2.8</v>
      </c>
      <c r="D4" s="3">
        <f t="shared" ref="D4:G4" si="0">D3*0.7</f>
        <v>105</v>
      </c>
      <c r="E4" s="3">
        <f t="shared" si="0"/>
        <v>17.5</v>
      </c>
      <c r="F4" s="3">
        <f t="shared" si="0"/>
        <v>2.8</v>
      </c>
      <c r="G4" s="3">
        <f t="shared" si="0"/>
        <v>140</v>
      </c>
      <c r="H4" s="3">
        <f>H3*0.7</f>
        <v>3.5</v>
      </c>
      <c r="I4" s="3">
        <f t="shared" ref="I4:J4" si="1">I3*0.7</f>
        <v>210</v>
      </c>
      <c r="J4" s="16">
        <f t="shared" si="1"/>
        <v>70</v>
      </c>
      <c r="K4" s="3">
        <f>K3*0.7</f>
        <v>560</v>
      </c>
      <c r="L4" s="3">
        <f>L3*0.4</f>
        <v>4</v>
      </c>
      <c r="M4" s="3">
        <f>M3*0.4</f>
        <v>0.4</v>
      </c>
      <c r="N4" s="3">
        <f>N3*0.7</f>
        <v>1.4</v>
      </c>
      <c r="O4" s="3">
        <f>O3*0.4</f>
        <v>1.6</v>
      </c>
      <c r="P4" s="3">
        <f>P3*0.4</f>
        <v>1.6</v>
      </c>
      <c r="Q4" s="3">
        <f>Q3*0.4</f>
        <v>0.4</v>
      </c>
      <c r="R4" s="3">
        <f t="shared" ref="R4:W4" si="2">R3*0.4</f>
        <v>8</v>
      </c>
      <c r="S4" s="3">
        <f t="shared" si="2"/>
        <v>20</v>
      </c>
      <c r="T4" s="3">
        <f t="shared" si="2"/>
        <v>6</v>
      </c>
      <c r="U4" s="3">
        <f t="shared" si="2"/>
        <v>200</v>
      </c>
      <c r="V4" s="3">
        <f t="shared" si="2"/>
        <v>3.2</v>
      </c>
      <c r="W4" s="3">
        <f t="shared" si="2"/>
        <v>1.6</v>
      </c>
      <c r="X4" s="3">
        <f>X3*0.4</f>
        <v>2</v>
      </c>
      <c r="Y4" s="3">
        <f>Y3*0.4</f>
        <v>0.27999999999999997</v>
      </c>
      <c r="Z4" s="3">
        <f>Z3*0.4</f>
        <v>64</v>
      </c>
      <c r="AA4" s="10"/>
    </row>
    <row r="5" spans="1:27" x14ac:dyDescent="0.3">
      <c r="A5" s="29" t="s">
        <v>25</v>
      </c>
      <c r="B5" s="11" t="s">
        <v>22</v>
      </c>
      <c r="C5" s="1">
        <v>30</v>
      </c>
      <c r="D5" s="1">
        <v>1500</v>
      </c>
      <c r="E5" s="1">
        <v>150</v>
      </c>
      <c r="F5" s="1">
        <v>30</v>
      </c>
      <c r="G5" s="1">
        <v>1200</v>
      </c>
      <c r="H5" s="1">
        <v>45</v>
      </c>
      <c r="I5" s="1">
        <v>1800</v>
      </c>
      <c r="J5" s="4">
        <v>600</v>
      </c>
      <c r="K5" s="1">
        <v>3900</v>
      </c>
      <c r="L5" s="12" t="s">
        <v>23</v>
      </c>
      <c r="M5" s="1">
        <v>12</v>
      </c>
      <c r="N5" s="1">
        <v>5</v>
      </c>
      <c r="O5" s="1">
        <v>10</v>
      </c>
      <c r="P5" s="1">
        <v>10</v>
      </c>
      <c r="Q5" s="1">
        <v>3</v>
      </c>
      <c r="R5" s="1">
        <v>60</v>
      </c>
      <c r="S5" s="1">
        <v>150</v>
      </c>
      <c r="T5" s="1">
        <v>45</v>
      </c>
      <c r="U5" s="1">
        <v>2400</v>
      </c>
      <c r="V5" s="1">
        <v>24</v>
      </c>
      <c r="W5" s="1">
        <v>12</v>
      </c>
      <c r="X5" s="1">
        <v>20</v>
      </c>
      <c r="Y5" s="1">
        <v>6</v>
      </c>
      <c r="Z5" s="1">
        <v>1000</v>
      </c>
      <c r="AA5" s="10"/>
    </row>
    <row r="6" spans="1:27" x14ac:dyDescent="0.3">
      <c r="A6" s="29"/>
      <c r="B6" s="13" t="s">
        <v>24</v>
      </c>
      <c r="C6" s="2">
        <v>10</v>
      </c>
      <c r="D6" s="2">
        <v>500</v>
      </c>
      <c r="E6" s="2">
        <v>50</v>
      </c>
      <c r="F6" s="2">
        <v>10</v>
      </c>
      <c r="G6" s="2">
        <v>400</v>
      </c>
      <c r="H6" s="2">
        <v>15</v>
      </c>
      <c r="I6" s="2">
        <v>600</v>
      </c>
      <c r="J6" s="14">
        <v>200</v>
      </c>
      <c r="K6" s="2">
        <v>1300</v>
      </c>
      <c r="L6" s="2">
        <v>10</v>
      </c>
      <c r="M6" s="2">
        <v>4</v>
      </c>
      <c r="N6" s="2">
        <v>2</v>
      </c>
      <c r="O6" s="2">
        <v>4</v>
      </c>
      <c r="P6" s="2">
        <v>4</v>
      </c>
      <c r="Q6" s="2">
        <v>1</v>
      </c>
      <c r="R6" s="2">
        <v>20</v>
      </c>
      <c r="S6" s="2">
        <v>50</v>
      </c>
      <c r="T6" s="2">
        <v>15</v>
      </c>
      <c r="U6" s="2">
        <v>800</v>
      </c>
      <c r="V6" s="2">
        <v>8</v>
      </c>
      <c r="W6" s="2">
        <v>4</v>
      </c>
      <c r="X6" s="2">
        <v>7</v>
      </c>
      <c r="Y6" s="2">
        <v>2</v>
      </c>
      <c r="Z6" s="2">
        <v>340</v>
      </c>
      <c r="AA6" s="10"/>
    </row>
    <row r="7" spans="1:27" x14ac:dyDescent="0.3">
      <c r="A7" s="29"/>
      <c r="B7" s="15" t="s">
        <v>92</v>
      </c>
      <c r="C7" s="3">
        <f>C6*0.7</f>
        <v>7</v>
      </c>
      <c r="D7" s="3">
        <f t="shared" ref="D7:J7" si="3">D6*0.7</f>
        <v>350</v>
      </c>
      <c r="E7" s="3">
        <f t="shared" si="3"/>
        <v>35</v>
      </c>
      <c r="F7" s="3">
        <f t="shared" si="3"/>
        <v>7</v>
      </c>
      <c r="G7" s="3">
        <f t="shared" si="3"/>
        <v>280</v>
      </c>
      <c r="H7" s="3">
        <f t="shared" si="3"/>
        <v>10.5</v>
      </c>
      <c r="I7" s="3">
        <f t="shared" si="3"/>
        <v>420</v>
      </c>
      <c r="J7" s="3">
        <f t="shared" si="3"/>
        <v>140</v>
      </c>
      <c r="K7" s="3">
        <f>K6*0.7</f>
        <v>909.99999999999989</v>
      </c>
      <c r="L7" s="3">
        <f t="shared" ref="L7:M7" si="4">L6*0.4</f>
        <v>4</v>
      </c>
      <c r="M7" s="3">
        <f t="shared" si="4"/>
        <v>1.6</v>
      </c>
      <c r="N7" s="3">
        <f>N6*0.7</f>
        <v>1.4</v>
      </c>
      <c r="O7" s="3">
        <f t="shared" ref="O7:P7" si="5">O6*0.4</f>
        <v>1.6</v>
      </c>
      <c r="P7" s="3">
        <f t="shared" si="5"/>
        <v>1.6</v>
      </c>
      <c r="Q7" s="3">
        <f>Q6*0.4</f>
        <v>0.4</v>
      </c>
      <c r="R7" s="3">
        <f t="shared" ref="R7:Z7" si="6">R6*0.4</f>
        <v>8</v>
      </c>
      <c r="S7" s="3">
        <f t="shared" si="6"/>
        <v>20</v>
      </c>
      <c r="T7" s="3">
        <f t="shared" si="6"/>
        <v>6</v>
      </c>
      <c r="U7" s="3">
        <f t="shared" si="6"/>
        <v>320</v>
      </c>
      <c r="V7" s="3">
        <f t="shared" si="6"/>
        <v>3.2</v>
      </c>
      <c r="W7" s="3">
        <f t="shared" si="6"/>
        <v>1.6</v>
      </c>
      <c r="X7" s="3">
        <f t="shared" si="6"/>
        <v>2.8000000000000003</v>
      </c>
      <c r="Y7" s="3">
        <f t="shared" si="6"/>
        <v>0.8</v>
      </c>
      <c r="Z7" s="3">
        <f t="shared" si="6"/>
        <v>136</v>
      </c>
      <c r="AA7" s="10"/>
    </row>
    <row r="8" spans="1:27" x14ac:dyDescent="0.3">
      <c r="A8" s="29" t="s">
        <v>26</v>
      </c>
      <c r="B8" s="11" t="s">
        <v>22</v>
      </c>
      <c r="C8" s="1">
        <v>180</v>
      </c>
      <c r="D8" s="1">
        <v>6000</v>
      </c>
      <c r="E8" s="1">
        <v>600</v>
      </c>
      <c r="F8" s="1">
        <v>60</v>
      </c>
      <c r="G8" s="1">
        <v>2100</v>
      </c>
      <c r="H8" s="1">
        <v>120</v>
      </c>
      <c r="I8" s="1">
        <v>5000</v>
      </c>
      <c r="J8" s="4">
        <v>1500</v>
      </c>
      <c r="K8" s="1">
        <v>6000</v>
      </c>
      <c r="L8" s="12" t="s">
        <v>23</v>
      </c>
      <c r="M8" s="1">
        <v>36</v>
      </c>
      <c r="N8" s="1">
        <v>300</v>
      </c>
      <c r="O8" s="1">
        <v>50</v>
      </c>
      <c r="P8" s="1">
        <v>50</v>
      </c>
      <c r="Q8" s="1">
        <v>9</v>
      </c>
      <c r="R8" s="1">
        <v>180</v>
      </c>
      <c r="S8" s="1">
        <v>1020</v>
      </c>
      <c r="T8" s="1">
        <v>135</v>
      </c>
      <c r="U8" s="1">
        <v>6000</v>
      </c>
      <c r="V8" s="1">
        <v>120</v>
      </c>
      <c r="W8" s="1">
        <v>75</v>
      </c>
      <c r="X8" s="1">
        <v>210</v>
      </c>
      <c r="Y8" s="1">
        <v>21</v>
      </c>
      <c r="Z8" s="1">
        <v>3000</v>
      </c>
      <c r="AA8" s="10"/>
    </row>
    <row r="9" spans="1:27" x14ac:dyDescent="0.3">
      <c r="A9" s="29"/>
      <c r="B9" s="13" t="s">
        <v>24</v>
      </c>
      <c r="C9" s="2">
        <v>60</v>
      </c>
      <c r="D9" s="2">
        <v>2000</v>
      </c>
      <c r="E9" s="2">
        <v>200</v>
      </c>
      <c r="F9" s="2">
        <v>20</v>
      </c>
      <c r="G9" s="2">
        <v>700</v>
      </c>
      <c r="H9" s="2">
        <v>40</v>
      </c>
      <c r="I9" s="2">
        <v>2000</v>
      </c>
      <c r="J9" s="14">
        <v>500</v>
      </c>
      <c r="K9" s="2">
        <v>2000</v>
      </c>
      <c r="L9" s="2">
        <v>30</v>
      </c>
      <c r="M9" s="2">
        <v>12</v>
      </c>
      <c r="N9" s="2">
        <v>120</v>
      </c>
      <c r="O9" s="2">
        <v>20</v>
      </c>
      <c r="P9" s="2">
        <v>20</v>
      </c>
      <c r="Q9" s="2">
        <v>3</v>
      </c>
      <c r="R9" s="2">
        <v>60</v>
      </c>
      <c r="S9" s="2">
        <v>340</v>
      </c>
      <c r="T9" s="2">
        <v>45</v>
      </c>
      <c r="U9" s="2">
        <v>2000</v>
      </c>
      <c r="V9" s="2">
        <v>40</v>
      </c>
      <c r="W9" s="2">
        <v>25</v>
      </c>
      <c r="X9" s="2">
        <v>70</v>
      </c>
      <c r="Y9" s="2">
        <v>7</v>
      </c>
      <c r="Z9" s="2">
        <v>1000</v>
      </c>
      <c r="AA9" s="10"/>
    </row>
    <row r="10" spans="1:27" x14ac:dyDescent="0.3">
      <c r="A10" s="29"/>
      <c r="B10" s="15" t="s">
        <v>92</v>
      </c>
      <c r="C10" s="3">
        <f>C9*0.7</f>
        <v>42</v>
      </c>
      <c r="D10" s="3">
        <f t="shared" ref="D10:J10" si="7">D9*0.7</f>
        <v>1400</v>
      </c>
      <c r="E10" s="3">
        <f t="shared" si="7"/>
        <v>140</v>
      </c>
      <c r="F10" s="3">
        <f t="shared" si="7"/>
        <v>14</v>
      </c>
      <c r="G10" s="3">
        <f t="shared" si="7"/>
        <v>489.99999999999994</v>
      </c>
      <c r="H10" s="3">
        <f t="shared" si="7"/>
        <v>28</v>
      </c>
      <c r="I10" s="3">
        <f t="shared" si="7"/>
        <v>1400</v>
      </c>
      <c r="J10" s="3">
        <f t="shared" si="7"/>
        <v>350</v>
      </c>
      <c r="K10" s="3">
        <f>K9*0.7</f>
        <v>1400</v>
      </c>
      <c r="L10" s="3">
        <f t="shared" ref="L10:M10" si="8">L9*0.4</f>
        <v>12</v>
      </c>
      <c r="M10" s="3">
        <f t="shared" si="8"/>
        <v>4.8000000000000007</v>
      </c>
      <c r="N10" s="3">
        <f>N9*0.7</f>
        <v>84</v>
      </c>
      <c r="O10" s="3">
        <f t="shared" ref="O10:P10" si="9">O9*0.4</f>
        <v>8</v>
      </c>
      <c r="P10" s="3">
        <f t="shared" si="9"/>
        <v>8</v>
      </c>
      <c r="Q10" s="3">
        <f>Q9*0.4</f>
        <v>1.2000000000000002</v>
      </c>
      <c r="R10" s="3">
        <f t="shared" ref="R10:Z10" si="10">R9*0.4</f>
        <v>24</v>
      </c>
      <c r="S10" s="3">
        <f t="shared" si="10"/>
        <v>136</v>
      </c>
      <c r="T10" s="3">
        <f t="shared" si="10"/>
        <v>18</v>
      </c>
      <c r="U10" s="3">
        <f t="shared" si="10"/>
        <v>800</v>
      </c>
      <c r="V10" s="3">
        <f t="shared" si="10"/>
        <v>16</v>
      </c>
      <c r="W10" s="3">
        <f t="shared" si="10"/>
        <v>10</v>
      </c>
      <c r="X10" s="3">
        <f t="shared" si="10"/>
        <v>28</v>
      </c>
      <c r="Y10" s="3">
        <f t="shared" si="10"/>
        <v>2.8000000000000003</v>
      </c>
      <c r="Z10" s="3">
        <f t="shared" si="10"/>
        <v>400</v>
      </c>
      <c r="AA10" s="10"/>
    </row>
  </sheetData>
  <mergeCells count="3">
    <mergeCell ref="A2:A4"/>
    <mergeCell ref="A5:A7"/>
    <mergeCell ref="A8:A10"/>
  </mergeCells>
  <phoneticPr fontId="3" type="noConversion"/>
  <conditionalFormatting sqref="B2:B10">
    <cfRule type="duplicateValues" dxfId="0" priority="2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75F29-5A52-4AC2-B047-728AD9D7D329}">
  <dimension ref="A1:P27"/>
  <sheetViews>
    <sheetView tabSelected="1" topLeftCell="C1" zoomScale="70" zoomScaleNormal="70" workbookViewId="0">
      <selection activeCell="L14" sqref="L14"/>
    </sheetView>
  </sheetViews>
  <sheetFormatPr defaultRowHeight="16.5" x14ac:dyDescent="0.3"/>
  <cols>
    <col min="2" max="2" width="26.125" customWidth="1"/>
    <col min="3" max="3" width="25.375" customWidth="1"/>
    <col min="4" max="4" width="24.125" customWidth="1"/>
    <col min="5" max="6" width="25.375" customWidth="1"/>
    <col min="7" max="7" width="24.125" customWidth="1"/>
    <col min="8" max="8" width="24.625" customWidth="1"/>
    <col min="9" max="9" width="26.125" customWidth="1"/>
    <col min="10" max="10" width="24.125" customWidth="1"/>
    <col min="11" max="12" width="25.375" customWidth="1"/>
    <col min="13" max="13" width="24.125" customWidth="1"/>
    <col min="14" max="14" width="24.625" customWidth="1"/>
    <col min="15" max="15" width="26.125" customWidth="1"/>
    <col min="16" max="16" width="21.625" customWidth="1"/>
  </cols>
  <sheetData>
    <row r="1" spans="1:16" x14ac:dyDescent="0.3">
      <c r="A1" s="5"/>
      <c r="B1" s="6" t="s">
        <v>89</v>
      </c>
      <c r="C1" s="6" t="s">
        <v>90</v>
      </c>
      <c r="D1" s="6" t="s">
        <v>93</v>
      </c>
      <c r="E1" s="6" t="s">
        <v>94</v>
      </c>
      <c r="F1" s="6" t="s">
        <v>95</v>
      </c>
      <c r="G1" s="6" t="s">
        <v>96</v>
      </c>
      <c r="H1" s="6" t="s">
        <v>97</v>
      </c>
      <c r="I1" s="6" t="s">
        <v>98</v>
      </c>
      <c r="J1" s="6" t="s">
        <v>99</v>
      </c>
      <c r="K1" s="6" t="s">
        <v>100</v>
      </c>
      <c r="L1" s="6" t="s">
        <v>101</v>
      </c>
      <c r="M1" s="6" t="s">
        <v>102</v>
      </c>
      <c r="N1" s="6" t="s">
        <v>103</v>
      </c>
      <c r="O1" s="6" t="s">
        <v>104</v>
      </c>
      <c r="P1" s="6" t="s">
        <v>91</v>
      </c>
    </row>
    <row r="2" spans="1:16" x14ac:dyDescent="0.3">
      <c r="A2" s="7" t="s">
        <v>35</v>
      </c>
      <c r="B2" s="7">
        <v>1</v>
      </c>
      <c r="C2" s="7">
        <v>3</v>
      </c>
      <c r="D2" s="7" t="s">
        <v>33</v>
      </c>
      <c r="E2" s="7" t="s">
        <v>33</v>
      </c>
      <c r="F2" s="7" t="s">
        <v>33</v>
      </c>
      <c r="G2" s="7" t="s">
        <v>33</v>
      </c>
      <c r="H2" s="7">
        <v>1</v>
      </c>
      <c r="I2" s="7">
        <v>2</v>
      </c>
      <c r="J2" s="7" t="s">
        <v>33</v>
      </c>
      <c r="K2" s="7" t="s">
        <v>33</v>
      </c>
      <c r="L2" s="7" t="s">
        <v>33</v>
      </c>
      <c r="M2" s="7" t="s">
        <v>33</v>
      </c>
      <c r="N2" s="7">
        <v>1</v>
      </c>
      <c r="O2" s="7">
        <v>2</v>
      </c>
      <c r="P2" s="8">
        <v>3636</v>
      </c>
    </row>
    <row r="3" spans="1:16" x14ac:dyDescent="0.3">
      <c r="A3" s="7" t="s">
        <v>37</v>
      </c>
      <c r="B3" s="7" t="s">
        <v>33</v>
      </c>
      <c r="C3" s="7" t="s">
        <v>33</v>
      </c>
      <c r="D3" s="7" t="s">
        <v>33</v>
      </c>
      <c r="E3" s="7" t="s">
        <v>33</v>
      </c>
      <c r="F3" s="7" t="s">
        <v>33</v>
      </c>
      <c r="G3" s="7" t="s">
        <v>33</v>
      </c>
      <c r="H3" s="7" t="s">
        <v>33</v>
      </c>
      <c r="I3" s="7" t="s">
        <v>33</v>
      </c>
      <c r="J3" s="7" t="s">
        <v>33</v>
      </c>
      <c r="K3" s="7" t="s">
        <v>33</v>
      </c>
      <c r="L3" s="7" t="s">
        <v>33</v>
      </c>
      <c r="M3" s="7" t="s">
        <v>33</v>
      </c>
      <c r="N3" s="7" t="s">
        <v>33</v>
      </c>
      <c r="O3" s="7" t="s">
        <v>33</v>
      </c>
      <c r="P3" s="7">
        <v>0</v>
      </c>
    </row>
    <row r="4" spans="1:16" x14ac:dyDescent="0.3">
      <c r="A4" s="7" t="s">
        <v>39</v>
      </c>
      <c r="B4" s="7" t="s">
        <v>33</v>
      </c>
      <c r="C4" s="7" t="s">
        <v>33</v>
      </c>
      <c r="D4" s="7" t="s">
        <v>33</v>
      </c>
      <c r="E4" s="7" t="s">
        <v>33</v>
      </c>
      <c r="F4" s="7" t="s">
        <v>33</v>
      </c>
      <c r="G4" s="7" t="s">
        <v>33</v>
      </c>
      <c r="H4" s="7" t="s">
        <v>33</v>
      </c>
      <c r="I4" s="7" t="s">
        <v>33</v>
      </c>
      <c r="J4" s="7" t="s">
        <v>33</v>
      </c>
      <c r="K4" s="7" t="s">
        <v>33</v>
      </c>
      <c r="L4" s="7" t="s">
        <v>33</v>
      </c>
      <c r="M4" s="7" t="s">
        <v>33</v>
      </c>
      <c r="N4" s="7" t="s">
        <v>33</v>
      </c>
      <c r="O4" s="7" t="s">
        <v>33</v>
      </c>
      <c r="P4" s="7">
        <v>0</v>
      </c>
    </row>
    <row r="5" spans="1:16" x14ac:dyDescent="0.3">
      <c r="A5" s="7" t="s">
        <v>41</v>
      </c>
      <c r="B5" s="7" t="s">
        <v>33</v>
      </c>
      <c r="C5" s="7" t="s">
        <v>33</v>
      </c>
      <c r="D5" s="7" t="s">
        <v>33</v>
      </c>
      <c r="E5" s="7" t="s">
        <v>33</v>
      </c>
      <c r="F5" s="7" t="s">
        <v>33</v>
      </c>
      <c r="G5" s="7" t="s">
        <v>33</v>
      </c>
      <c r="H5" s="7" t="s">
        <v>33</v>
      </c>
      <c r="I5" s="7" t="s">
        <v>33</v>
      </c>
      <c r="J5" s="7" t="s">
        <v>33</v>
      </c>
      <c r="K5" s="7" t="s">
        <v>33</v>
      </c>
      <c r="L5" s="7" t="s">
        <v>33</v>
      </c>
      <c r="M5" s="7" t="s">
        <v>33</v>
      </c>
      <c r="N5" s="7" t="s">
        <v>33</v>
      </c>
      <c r="O5" s="7" t="s">
        <v>33</v>
      </c>
      <c r="P5" s="7">
        <v>0</v>
      </c>
    </row>
    <row r="6" spans="1:16" x14ac:dyDescent="0.3">
      <c r="A6" s="7" t="s">
        <v>43</v>
      </c>
      <c r="B6" s="7" t="s">
        <v>33</v>
      </c>
      <c r="C6" s="7" t="s">
        <v>33</v>
      </c>
      <c r="D6" s="7" t="s">
        <v>33</v>
      </c>
      <c r="E6" s="7" t="s">
        <v>33</v>
      </c>
      <c r="F6" s="7" t="s">
        <v>33</v>
      </c>
      <c r="G6" s="7" t="s">
        <v>33</v>
      </c>
      <c r="H6" s="7" t="s">
        <v>33</v>
      </c>
      <c r="I6" s="7" t="s">
        <v>33</v>
      </c>
      <c r="J6" s="7" t="s">
        <v>33</v>
      </c>
      <c r="K6" s="7" t="s">
        <v>33</v>
      </c>
      <c r="L6" s="7" t="s">
        <v>33</v>
      </c>
      <c r="M6" s="7" t="s">
        <v>33</v>
      </c>
      <c r="N6" s="7" t="s">
        <v>33</v>
      </c>
      <c r="O6" s="7" t="s">
        <v>33</v>
      </c>
      <c r="P6" s="7">
        <v>0</v>
      </c>
    </row>
    <row r="7" spans="1:16" x14ac:dyDescent="0.3">
      <c r="A7" s="7" t="s">
        <v>45</v>
      </c>
      <c r="B7" s="7" t="s">
        <v>33</v>
      </c>
      <c r="C7" s="7" t="s">
        <v>33</v>
      </c>
      <c r="D7" s="7" t="s">
        <v>33</v>
      </c>
      <c r="E7" s="7" t="s">
        <v>33</v>
      </c>
      <c r="F7" s="7" t="s">
        <v>33</v>
      </c>
      <c r="G7" s="7" t="s">
        <v>33</v>
      </c>
      <c r="H7" s="7" t="s">
        <v>33</v>
      </c>
      <c r="I7" s="7" t="s">
        <v>33</v>
      </c>
      <c r="J7" s="7" t="s">
        <v>33</v>
      </c>
      <c r="K7" s="7" t="s">
        <v>33</v>
      </c>
      <c r="L7" s="7" t="s">
        <v>33</v>
      </c>
      <c r="M7" s="7" t="s">
        <v>33</v>
      </c>
      <c r="N7" s="7" t="s">
        <v>33</v>
      </c>
      <c r="O7" s="7" t="s">
        <v>33</v>
      </c>
      <c r="P7" s="7">
        <v>0</v>
      </c>
    </row>
    <row r="8" spans="1:16" x14ac:dyDescent="0.3">
      <c r="A8" s="7" t="s">
        <v>47</v>
      </c>
      <c r="B8" s="7">
        <v>2</v>
      </c>
      <c r="C8" s="7">
        <v>2</v>
      </c>
      <c r="D8" s="7">
        <v>1</v>
      </c>
      <c r="E8" s="7">
        <v>1</v>
      </c>
      <c r="F8" s="7" t="s">
        <v>33</v>
      </c>
      <c r="G8" s="7" t="s">
        <v>33</v>
      </c>
      <c r="H8" s="7" t="s">
        <v>33</v>
      </c>
      <c r="I8" s="7" t="s">
        <v>33</v>
      </c>
      <c r="J8" s="7">
        <v>1</v>
      </c>
      <c r="K8" s="7">
        <v>1</v>
      </c>
      <c r="L8" s="7" t="s">
        <v>33</v>
      </c>
      <c r="M8" s="7" t="s">
        <v>33</v>
      </c>
      <c r="N8" s="7" t="s">
        <v>33</v>
      </c>
      <c r="O8" s="7" t="s">
        <v>33</v>
      </c>
      <c r="P8" s="7">
        <v>158.69999999999999</v>
      </c>
    </row>
    <row r="9" spans="1:16" x14ac:dyDescent="0.3">
      <c r="A9" s="7" t="s">
        <v>49</v>
      </c>
      <c r="B9" s="7" t="s">
        <v>33</v>
      </c>
      <c r="C9" s="7" t="s">
        <v>33</v>
      </c>
      <c r="D9" s="7" t="s">
        <v>33</v>
      </c>
      <c r="E9" s="7" t="s">
        <v>33</v>
      </c>
      <c r="F9" s="7" t="s">
        <v>33</v>
      </c>
      <c r="G9" s="7" t="s">
        <v>33</v>
      </c>
      <c r="H9" s="7" t="s">
        <v>33</v>
      </c>
      <c r="I9" s="7" t="s">
        <v>33</v>
      </c>
      <c r="J9" s="7" t="s">
        <v>33</v>
      </c>
      <c r="K9" s="7" t="s">
        <v>33</v>
      </c>
      <c r="L9" s="7" t="s">
        <v>33</v>
      </c>
      <c r="M9" s="7" t="s">
        <v>33</v>
      </c>
      <c r="N9" s="7" t="s">
        <v>33</v>
      </c>
      <c r="O9" s="7" t="s">
        <v>33</v>
      </c>
      <c r="P9" s="7">
        <v>15.57</v>
      </c>
    </row>
    <row r="10" spans="1:16" x14ac:dyDescent="0.3">
      <c r="A10" s="7" t="s">
        <v>51</v>
      </c>
      <c r="B10" s="7" t="s">
        <v>33</v>
      </c>
      <c r="C10" s="7" t="s">
        <v>33</v>
      </c>
      <c r="D10" s="7" t="s">
        <v>33</v>
      </c>
      <c r="E10" s="7" t="s">
        <v>33</v>
      </c>
      <c r="F10" s="7" t="s">
        <v>33</v>
      </c>
      <c r="G10" s="7" t="s">
        <v>33</v>
      </c>
      <c r="H10" s="7" t="s">
        <v>33</v>
      </c>
      <c r="I10" s="7" t="s">
        <v>33</v>
      </c>
      <c r="J10" s="7" t="s">
        <v>33</v>
      </c>
      <c r="K10" s="7" t="s">
        <v>33</v>
      </c>
      <c r="L10" s="7" t="s">
        <v>33</v>
      </c>
      <c r="M10" s="7" t="s">
        <v>33</v>
      </c>
      <c r="N10" s="7" t="s">
        <v>33</v>
      </c>
      <c r="O10" s="7" t="s">
        <v>33</v>
      </c>
      <c r="P10" s="7">
        <v>0</v>
      </c>
    </row>
    <row r="11" spans="1:16" ht="30" x14ac:dyDescent="0.3">
      <c r="A11" s="7" t="s">
        <v>53</v>
      </c>
      <c r="B11" s="7">
        <v>5</v>
      </c>
      <c r="C11" s="7">
        <v>6</v>
      </c>
      <c r="D11" s="7">
        <v>1</v>
      </c>
      <c r="E11" s="7">
        <v>1</v>
      </c>
      <c r="F11" s="7" t="s">
        <v>33</v>
      </c>
      <c r="G11" s="7" t="s">
        <v>33</v>
      </c>
      <c r="H11" s="7">
        <v>2</v>
      </c>
      <c r="I11" s="7">
        <v>2</v>
      </c>
      <c r="J11" s="7">
        <v>1</v>
      </c>
      <c r="K11" s="7">
        <v>1</v>
      </c>
      <c r="L11" s="7" t="s">
        <v>33</v>
      </c>
      <c r="M11" s="7" t="s">
        <v>33</v>
      </c>
      <c r="N11" s="7">
        <v>2</v>
      </c>
      <c r="O11" s="7">
        <v>2</v>
      </c>
      <c r="P11" s="9">
        <v>1040.9000000000001</v>
      </c>
    </row>
    <row r="12" spans="1:16" x14ac:dyDescent="0.3">
      <c r="A12" s="7" t="s">
        <v>34</v>
      </c>
      <c r="B12" s="7" t="s">
        <v>33</v>
      </c>
      <c r="C12" s="7" t="s">
        <v>33</v>
      </c>
      <c r="D12" s="7" t="s">
        <v>33</v>
      </c>
      <c r="E12" s="7" t="s">
        <v>33</v>
      </c>
      <c r="F12" s="7" t="s">
        <v>33</v>
      </c>
      <c r="G12" s="7" t="s">
        <v>33</v>
      </c>
      <c r="H12" s="7" t="s">
        <v>33</v>
      </c>
      <c r="I12" s="7" t="s">
        <v>33</v>
      </c>
      <c r="J12" s="7" t="s">
        <v>33</v>
      </c>
      <c r="K12" s="7" t="s">
        <v>33</v>
      </c>
      <c r="L12" s="7" t="s">
        <v>33</v>
      </c>
      <c r="M12" s="7" t="s">
        <v>33</v>
      </c>
      <c r="N12" s="7" t="s">
        <v>33</v>
      </c>
      <c r="O12" s="7" t="s">
        <v>33</v>
      </c>
      <c r="P12" s="7">
        <v>1.4</v>
      </c>
    </row>
    <row r="13" spans="1:16" x14ac:dyDescent="0.3">
      <c r="A13" s="7" t="s">
        <v>56</v>
      </c>
      <c r="B13" s="7" t="s">
        <v>33</v>
      </c>
      <c r="C13" s="7" t="s">
        <v>33</v>
      </c>
      <c r="D13" s="7" t="s">
        <v>33</v>
      </c>
      <c r="E13" s="7" t="s">
        <v>33</v>
      </c>
      <c r="F13" s="7" t="s">
        <v>33</v>
      </c>
      <c r="G13" s="7" t="s">
        <v>33</v>
      </c>
      <c r="H13" s="7" t="s">
        <v>33</v>
      </c>
      <c r="I13" s="7" t="s">
        <v>33</v>
      </c>
      <c r="J13" s="7" t="s">
        <v>33</v>
      </c>
      <c r="K13" s="7" t="s">
        <v>33</v>
      </c>
      <c r="L13" s="7" t="s">
        <v>33</v>
      </c>
      <c r="M13" s="7" t="s">
        <v>33</v>
      </c>
      <c r="N13" s="7" t="s">
        <v>33</v>
      </c>
      <c r="O13" s="7" t="s">
        <v>33</v>
      </c>
      <c r="P13" s="7">
        <v>63.1</v>
      </c>
    </row>
    <row r="14" spans="1:16" x14ac:dyDescent="0.3">
      <c r="A14" s="7" t="s">
        <v>58</v>
      </c>
      <c r="B14" s="7" t="s">
        <v>33</v>
      </c>
      <c r="C14" s="7" t="s">
        <v>33</v>
      </c>
      <c r="D14" s="7" t="s">
        <v>33</v>
      </c>
      <c r="E14" s="7" t="s">
        <v>33</v>
      </c>
      <c r="F14" s="7" t="s">
        <v>33</v>
      </c>
      <c r="G14" s="7" t="s">
        <v>33</v>
      </c>
      <c r="H14" s="7" t="s">
        <v>33</v>
      </c>
      <c r="I14" s="7" t="s">
        <v>33</v>
      </c>
      <c r="J14" s="7" t="s">
        <v>33</v>
      </c>
      <c r="K14" s="7" t="s">
        <v>33</v>
      </c>
      <c r="L14" s="7" t="s">
        <v>33</v>
      </c>
      <c r="M14" s="7" t="s">
        <v>33</v>
      </c>
      <c r="N14" s="7" t="s">
        <v>33</v>
      </c>
      <c r="O14" s="7" t="s">
        <v>33</v>
      </c>
      <c r="P14" s="7">
        <v>145.69999999999999</v>
      </c>
    </row>
    <row r="15" spans="1:16" ht="45" x14ac:dyDescent="0.3">
      <c r="A15" s="7" t="s">
        <v>60</v>
      </c>
      <c r="B15" s="7" t="s">
        <v>33</v>
      </c>
      <c r="C15" s="7" t="s">
        <v>33</v>
      </c>
      <c r="D15" s="7" t="s">
        <v>33</v>
      </c>
      <c r="E15" s="7" t="s">
        <v>33</v>
      </c>
      <c r="F15" s="7" t="s">
        <v>33</v>
      </c>
      <c r="G15" s="7" t="s">
        <v>33</v>
      </c>
      <c r="H15" s="7" t="s">
        <v>33</v>
      </c>
      <c r="I15" s="7" t="s">
        <v>33</v>
      </c>
      <c r="J15" s="7" t="s">
        <v>33</v>
      </c>
      <c r="K15" s="7" t="s">
        <v>33</v>
      </c>
      <c r="L15" s="7" t="s">
        <v>33</v>
      </c>
      <c r="M15" s="7" t="s">
        <v>33</v>
      </c>
      <c r="N15" s="7" t="s">
        <v>33</v>
      </c>
      <c r="O15" s="7" t="s">
        <v>33</v>
      </c>
      <c r="P15" s="7">
        <v>0</v>
      </c>
    </row>
    <row r="16" spans="1:16" x14ac:dyDescent="0.3">
      <c r="A16" s="7" t="s">
        <v>83</v>
      </c>
      <c r="B16" s="7">
        <v>6</v>
      </c>
      <c r="C16" s="7">
        <v>9</v>
      </c>
      <c r="D16" s="7">
        <v>2</v>
      </c>
      <c r="E16" s="7">
        <v>2</v>
      </c>
      <c r="F16" s="7" t="s">
        <v>33</v>
      </c>
      <c r="G16" s="7" t="s">
        <v>33</v>
      </c>
      <c r="H16" s="7">
        <v>3</v>
      </c>
      <c r="I16" s="7">
        <v>4</v>
      </c>
      <c r="J16" s="7">
        <v>2</v>
      </c>
      <c r="K16" s="7">
        <v>2</v>
      </c>
      <c r="L16" s="7" t="s">
        <v>33</v>
      </c>
      <c r="M16" s="7" t="s">
        <v>33</v>
      </c>
      <c r="N16" s="7">
        <v>3</v>
      </c>
      <c r="O16" s="7">
        <v>4</v>
      </c>
      <c r="P16" s="7" t="s">
        <v>33</v>
      </c>
    </row>
    <row r="17" spans="1:16" x14ac:dyDescent="0.3">
      <c r="A17" s="10" t="s">
        <v>84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 x14ac:dyDescent="0.3">
      <c r="A18" s="10" t="s">
        <v>85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 x14ac:dyDescent="0.3">
      <c r="A19" s="10" t="s">
        <v>86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x14ac:dyDescent="0.3">
      <c r="A20" s="10" t="s">
        <v>32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 x14ac:dyDescent="0.3">
      <c r="A21" s="10" t="s">
        <v>63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 x14ac:dyDescent="0.3">
      <c r="A22" s="10" t="s">
        <v>65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1:16" x14ac:dyDescent="0.3">
      <c r="A23" s="10" t="s">
        <v>67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 x14ac:dyDescent="0.3">
      <c r="A24" s="10" t="s">
        <v>69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6" x14ac:dyDescent="0.3">
      <c r="A25" s="10" t="s">
        <v>87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 x14ac:dyDescent="0.3">
      <c r="A26" s="10" t="s">
        <v>9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x14ac:dyDescent="0.3">
      <c r="A27" s="10" t="s">
        <v>88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장현우</dc:creator>
  <cp:lastModifiedBy>장현우</cp:lastModifiedBy>
  <dcterms:created xsi:type="dcterms:W3CDTF">2026-02-06T04:30:58Z</dcterms:created>
  <dcterms:modified xsi:type="dcterms:W3CDTF">2026-02-06T04:56:37Z</dcterms:modified>
</cp:coreProperties>
</file>